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ikme\Desktop\"/>
    </mc:Choice>
  </mc:AlternateContent>
  <xr:revisionPtr revIDLastSave="0" documentId="8_{83492A46-9DD0-49D3-925E-E317B3051557}" xr6:coauthVersionLast="47" xr6:coauthVersionMax="47" xr10:uidLastSave="{00000000-0000-0000-0000-000000000000}"/>
  <bookViews>
    <workbookView xWindow="-120" yWindow="-120" windowWidth="29040" windowHeight="16440" firstSheet="3" activeTab="6" xr2:uid="{10DC4E19-F4F9-4D70-8207-AA7858C4AA2B}"/>
  </bookViews>
  <sheets>
    <sheet name="Tablo Veri Düzenleme" sheetId="1" r:id="rId1"/>
    <sheet name="Metin Düzenleme" sheetId="2" r:id="rId2"/>
    <sheet name="Rutin Hesaplamalar" sheetId="3" r:id="rId3"/>
    <sheet name="Pivot&amp;Grafik Sunumu" sheetId="7" r:id="rId4"/>
    <sheet name="Pivot&amp;Grafik" sheetId="4" r:id="rId5"/>
    <sheet name="Vlookup" sheetId="5" r:id="rId6"/>
    <sheet name="Formüller" sheetId="6" r:id="rId7"/>
  </sheets>
  <definedNames>
    <definedName name="Dilimleyici_Bölge">#N/A</definedName>
  </definedNames>
  <calcPr calcId="191028"/>
  <pivotCaches>
    <pivotCache cacheId="4" r:id="rId8"/>
  </pivotCaches>
  <extLst>
    <ext xmlns:x14="http://schemas.microsoft.com/office/spreadsheetml/2009/9/main" uri="{BBE1A952-AA13-448e-AADC-164F8A28A991}">
      <x14:slicerCaches>
        <x14:slicerCache r:id="rId9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" i="6" l="1"/>
  <c r="O4" i="6"/>
  <c r="O5" i="6"/>
  <c r="O6" i="6"/>
  <c r="O7" i="6"/>
  <c r="O8" i="6"/>
  <c r="O9" i="6"/>
  <c r="O10" i="6"/>
  <c r="O11" i="6"/>
  <c r="O12" i="6"/>
  <c r="O2" i="6"/>
  <c r="R14" i="6"/>
  <c r="R17" i="6"/>
  <c r="R16" i="6"/>
  <c r="R15" i="6"/>
  <c r="L3" i="5"/>
  <c r="L4" i="5"/>
  <c r="L5" i="5"/>
  <c r="L6" i="5"/>
  <c r="L7" i="5"/>
  <c r="L8" i="5"/>
  <c r="L9" i="5"/>
  <c r="L10" i="5"/>
  <c r="L11" i="5"/>
  <c r="L12" i="5"/>
  <c r="L2" i="5"/>
  <c r="K3" i="5"/>
  <c r="K4" i="5"/>
  <c r="K5" i="5"/>
  <c r="K6" i="5"/>
  <c r="K7" i="5"/>
  <c r="K8" i="5"/>
  <c r="K9" i="5"/>
  <c r="K10" i="5"/>
  <c r="K11" i="5"/>
  <c r="K12" i="5"/>
  <c r="K2" i="5"/>
  <c r="B17" i="3"/>
  <c r="C9" i="3"/>
  <c r="E4" i="3"/>
  <c r="C3" i="2"/>
  <c r="C4" i="2"/>
  <c r="C5" i="2"/>
  <c r="C6" i="2"/>
  <c r="C7" i="2"/>
  <c r="C8" i="2"/>
  <c r="C9" i="2"/>
  <c r="C10" i="2"/>
  <c r="C11" i="2"/>
  <c r="C12" i="2"/>
  <c r="C2" i="2"/>
  <c r="L3" i="6"/>
</calcChain>
</file>

<file path=xl/sharedStrings.xml><?xml version="1.0" encoding="utf-8"?>
<sst xmlns="http://schemas.openxmlformats.org/spreadsheetml/2006/main" count="446" uniqueCount="163">
  <si>
    <t>Ad</t>
  </si>
  <si>
    <t>Soyad</t>
  </si>
  <si>
    <t>Doğum Yılı</t>
  </si>
  <si>
    <t>Ünvanı</t>
  </si>
  <si>
    <t>Yaşadığı Şehir</t>
  </si>
  <si>
    <t>İşe Başlama Tarihi</t>
  </si>
  <si>
    <t>Net Maaşı</t>
  </si>
  <si>
    <t>Verimlilik</t>
  </si>
  <si>
    <t>Şeyma</t>
  </si>
  <si>
    <t>Kadı</t>
  </si>
  <si>
    <t>Uzman</t>
  </si>
  <si>
    <t>Trabzon</t>
  </si>
  <si>
    <t>Doğum yılını görünebilir bir hale date formatında getirelim</t>
  </si>
  <si>
    <t>Aslıhan</t>
  </si>
  <si>
    <t>Güneş</t>
  </si>
  <si>
    <t>Müdür</t>
  </si>
  <si>
    <t>Bursa</t>
  </si>
  <si>
    <t>İşe başlangıç rakamlarını date formatına getirelim.</t>
  </si>
  <si>
    <t>Mert</t>
  </si>
  <si>
    <t>Yazı</t>
  </si>
  <si>
    <t>Gaziantep</t>
  </si>
  <si>
    <t>Verimlilik sayılarını % formatına çevirelim.</t>
  </si>
  <si>
    <t>Kenan</t>
  </si>
  <si>
    <t>Bar</t>
  </si>
  <si>
    <t>Zonguldak</t>
  </si>
  <si>
    <t>Rakamları ayraç ile ayıralım.</t>
  </si>
  <si>
    <t>Kağan</t>
  </si>
  <si>
    <t>Mana</t>
  </si>
  <si>
    <t>Tekirdağ</t>
  </si>
  <si>
    <t>Tablomuzu görselleştirelim . Başlıkları renklendirelim biraz büyütelim,Dilerseniz hücreleri,Border renklerini ve şekillerini.. (Yaratıcılık size ait)</t>
  </si>
  <si>
    <t>Ayşe</t>
  </si>
  <si>
    <t>İzmir</t>
  </si>
  <si>
    <t>Klavuz çizgilerini kaldıralım</t>
  </si>
  <si>
    <t>Mehmet</t>
  </si>
  <si>
    <t>Tam</t>
  </si>
  <si>
    <t>Direktör</t>
  </si>
  <si>
    <t>İstanbul</t>
  </si>
  <si>
    <t>Muhsin</t>
  </si>
  <si>
    <t>Ildaş</t>
  </si>
  <si>
    <t>Eskişehir</t>
  </si>
  <si>
    <t>Ahsen</t>
  </si>
  <si>
    <t>Göz</t>
  </si>
  <si>
    <t>Ankara</t>
  </si>
  <si>
    <t>Halim</t>
  </si>
  <si>
    <t>Sevgi</t>
  </si>
  <si>
    <t>Antalya</t>
  </si>
  <si>
    <t>Musa</t>
  </si>
  <si>
    <t>Tamam</t>
  </si>
  <si>
    <t>Adıyaman</t>
  </si>
  <si>
    <t xml:space="preserve">  şeyma</t>
  </si>
  <si>
    <t xml:space="preserve">KADI </t>
  </si>
  <si>
    <t>Fazla boşlukları kaldıralım</t>
  </si>
  <si>
    <t>ASLIHAN</t>
  </si>
  <si>
    <t xml:space="preserve">  güneş</t>
  </si>
  <si>
    <t>Yazım düzeni olacak şekilde Ad ve Soyadı birleştirelim</t>
  </si>
  <si>
    <t xml:space="preserve"> mert</t>
  </si>
  <si>
    <t>YAZI</t>
  </si>
  <si>
    <t>Ad soyad birleştirildikten sonra farklı bir sütuna formüllerden kurtararak kopyalıyalım. Text to columns ile yada ctrl+e ile ad ve soyadı ayıralım</t>
  </si>
  <si>
    <t xml:space="preserve">  Kenan</t>
  </si>
  <si>
    <t xml:space="preserve"> BAR</t>
  </si>
  <si>
    <t xml:space="preserve">  KAĞAN</t>
  </si>
  <si>
    <t xml:space="preserve"> mana</t>
  </si>
  <si>
    <t xml:space="preserve"> AYŞE</t>
  </si>
  <si>
    <t xml:space="preserve">    güneş</t>
  </si>
  <si>
    <t xml:space="preserve">        MEHMET</t>
  </si>
  <si>
    <t xml:space="preserve"> tam</t>
  </si>
  <si>
    <t>muhsin</t>
  </si>
  <si>
    <t xml:space="preserve">   Ildaş</t>
  </si>
  <si>
    <t>AHSEN</t>
  </si>
  <si>
    <t>HALİM</t>
  </si>
  <si>
    <t xml:space="preserve">  Musa</t>
  </si>
  <si>
    <t xml:space="preserve">tamam   </t>
  </si>
  <si>
    <t>Maaş</t>
  </si>
  <si>
    <t>Zam Oranı</t>
  </si>
  <si>
    <t>Yeni Maaş</t>
  </si>
  <si>
    <t>Ahu</t>
  </si>
  <si>
    <t>Erdem</t>
  </si>
  <si>
    <t>Yeni maaşı bulalım</t>
  </si>
  <si>
    <t>2024 Satış Sayısı</t>
  </si>
  <si>
    <t>2025 Satış Sayısı</t>
  </si>
  <si>
    <t>2024 VS 2025</t>
  </si>
  <si>
    <t>Değişim Oranını Bulalım</t>
  </si>
  <si>
    <t>Giriş Saati</t>
  </si>
  <si>
    <t>Çıkış Saati</t>
  </si>
  <si>
    <t>Çalılma Süresini Bulalım</t>
  </si>
  <si>
    <t>Çalışma Süresi</t>
  </si>
  <si>
    <t>Ad Soyad</t>
  </si>
  <si>
    <t>Grade</t>
  </si>
  <si>
    <t>Cinsiyeti</t>
  </si>
  <si>
    <t>Kıdem</t>
  </si>
  <si>
    <t>Bölümü</t>
  </si>
  <si>
    <t>Bölge</t>
  </si>
  <si>
    <t>Telefon Numarası</t>
  </si>
  <si>
    <t>Satış Miktarı</t>
  </si>
  <si>
    <t>Satış Tutarı</t>
  </si>
  <si>
    <t>Satış Kategorisi</t>
  </si>
  <si>
    <t>Sınav Sonucu</t>
  </si>
  <si>
    <t>Ahu Erdem</t>
  </si>
  <si>
    <t>Kadın</t>
  </si>
  <si>
    <t>Balıkesir</t>
  </si>
  <si>
    <t>HR</t>
  </si>
  <si>
    <t>Marmara</t>
  </si>
  <si>
    <t>Cihaz</t>
  </si>
  <si>
    <t>Arzu Bahar</t>
  </si>
  <si>
    <t>Audit</t>
  </si>
  <si>
    <t>Bahar Alyanak</t>
  </si>
  <si>
    <t>Muğla</t>
  </si>
  <si>
    <t>Satış</t>
  </si>
  <si>
    <t>Akdeniz</t>
  </si>
  <si>
    <t>Elektronik</t>
  </si>
  <si>
    <t>Bölümlere göre toplam satış tutarını oluşturalım.</t>
  </si>
  <si>
    <t>Sami Kırgız</t>
  </si>
  <si>
    <t>Erkek</t>
  </si>
  <si>
    <t>Adana</t>
  </si>
  <si>
    <t>Satış tutarınının toplama oranını çıkaralım.</t>
  </si>
  <si>
    <t>Mahir Kal</t>
  </si>
  <si>
    <t>Van</t>
  </si>
  <si>
    <t>NT</t>
  </si>
  <si>
    <t>Doğu Anadolu</t>
  </si>
  <si>
    <t>Slicer ile Bölgeleri ekleyelim</t>
  </si>
  <si>
    <t>Kemal Kar</t>
  </si>
  <si>
    <t>Kocaeli</t>
  </si>
  <si>
    <t>Aksesuar</t>
  </si>
  <si>
    <t>Pivotchart ekleyelim ve görselleştirelim.</t>
  </si>
  <si>
    <t>Pınar Yeşilyurt</t>
  </si>
  <si>
    <t>Marketing</t>
  </si>
  <si>
    <t>İç Anadolu</t>
  </si>
  <si>
    <t>Şeyma Kadı</t>
  </si>
  <si>
    <t>Ict</t>
  </si>
  <si>
    <t>Karadeniz</t>
  </si>
  <si>
    <t>Aslıhan Güneş</t>
  </si>
  <si>
    <t>Mert Yazı</t>
  </si>
  <si>
    <t>Güneydoğu Anadolu</t>
  </si>
  <si>
    <t>Kenan Bar</t>
  </si>
  <si>
    <t>Kağan Mana</t>
  </si>
  <si>
    <t>Procument</t>
  </si>
  <si>
    <t>Mehmet Tam</t>
  </si>
  <si>
    <t>Muhsin Ildaş</t>
  </si>
  <si>
    <t>Ahsen Göz</t>
  </si>
  <si>
    <t>FN</t>
  </si>
  <si>
    <t>Halim Sevgi</t>
  </si>
  <si>
    <t>Musa Tamam</t>
  </si>
  <si>
    <t>Reyhan Hamam</t>
  </si>
  <si>
    <t>Kayseri</t>
  </si>
  <si>
    <t>Havva Kaba</t>
  </si>
  <si>
    <t>Aksaray</t>
  </si>
  <si>
    <t>Ceo Office</t>
  </si>
  <si>
    <t>Tekin Mısır</t>
  </si>
  <si>
    <t>Ali Akıl</t>
  </si>
  <si>
    <t>Yaşadığı Şehir,Kıdem,bilgilerini ilgili sütunlara getirelim</t>
  </si>
  <si>
    <t>Ege</t>
  </si>
  <si>
    <t>O kolonuna Sınav sonucu 70 ve üzeri olan kişiler için "geçti" altındakiler için "kaldı" yazılmasını sağlayalım</t>
  </si>
  <si>
    <r>
      <t xml:space="preserve">Yandaki sarı ile belirttiğim alana Satış bölümünde olan kişilerin toplam </t>
    </r>
    <r>
      <rPr>
        <b/>
        <sz val="11"/>
        <color theme="1"/>
        <rFont val="Calibri"/>
        <family val="2"/>
        <charset val="162"/>
        <scheme val="minor"/>
      </rPr>
      <t>satış tutarını</t>
    </r>
    <r>
      <rPr>
        <sz val="11"/>
        <color theme="1"/>
        <rFont val="Calibri"/>
        <family val="2"/>
        <charset val="162"/>
        <scheme val="minor"/>
      </rPr>
      <t xml:space="preserve"> getirelim.</t>
    </r>
  </si>
  <si>
    <r>
      <t xml:space="preserve">Yandaki sarı ile belirttiğim alana cinsiyeti kadın olanları </t>
    </r>
    <r>
      <rPr>
        <b/>
        <sz val="11"/>
        <color theme="1"/>
        <rFont val="Calibri"/>
        <family val="2"/>
        <charset val="162"/>
        <scheme val="minor"/>
      </rPr>
      <t>sayalım.</t>
    </r>
  </si>
  <si>
    <t xml:space="preserve">Yandaki sarı ile belirttiğim alana large ile 2. en yüksek satış miktarını yazalım. </t>
  </si>
  <si>
    <t xml:space="preserve">Yandaki sarı ile belirttiğim alana small ile 2. en düşük sınav sonucunu yazalım. </t>
  </si>
  <si>
    <t>Ad - Soyad</t>
  </si>
  <si>
    <t>Ayşe Güneş</t>
  </si>
  <si>
    <t>Satır Etiketleri</t>
  </si>
  <si>
    <t>Genel Toplam</t>
  </si>
  <si>
    <t>Toplam Satış Tutarı</t>
  </si>
  <si>
    <t>Toplam Satış Oranları</t>
  </si>
  <si>
    <t>Geçme Durumu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</si>
</sst>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&quot;₺&quot;#,##0.00"/>
  </numFmts>
  <fonts count="6" x14ac:knownFonts="1">
    <font>
      <sz val="11"/>
      <color theme="1"/>
      <name val="Calibri"/>
      <family val="2"/>
      <charset val="162"/>
      <scheme val="minor"/>
    </font>
    <font>
      <b/>
      <sz val="11"/>
      <color theme="0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b/>
      <sz val="12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b/>
      <sz val="14"/>
      <color theme="1"/>
      <name val="Calibri"/>
      <family val="2"/>
      <charset val="16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27">
    <xf numFmtId="0" fontId="0" fillId="0" borderId="0" xfId="0"/>
    <xf numFmtId="14" fontId="0" fillId="0" borderId="0" xfId="0" applyNumberFormat="1"/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9" fontId="0" fillId="0" borderId="1" xfId="0" applyNumberFormat="1" applyBorder="1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wrapText="1"/>
    </xf>
    <xf numFmtId="164" fontId="0" fillId="0" borderId="1" xfId="0" applyNumberFormat="1" applyBorder="1"/>
    <xf numFmtId="0" fontId="0" fillId="0" borderId="2" xfId="0" applyBorder="1" applyAlignment="1">
      <alignment wrapText="1"/>
    </xf>
    <xf numFmtId="0" fontId="3" fillId="4" borderId="3" xfId="0" applyFont="1" applyFill="1" applyBorder="1" applyAlignment="1">
      <alignment horizontal="center"/>
    </xf>
    <xf numFmtId="0" fontId="0" fillId="0" borderId="3" xfId="0" applyBorder="1" applyAlignment="1">
      <alignment horizontal="center"/>
    </xf>
    <xf numFmtId="14" fontId="0" fillId="0" borderId="3" xfId="0" applyNumberFormat="1" applyBorder="1" applyAlignment="1">
      <alignment horizontal="center"/>
    </xf>
    <xf numFmtId="43" fontId="0" fillId="0" borderId="3" xfId="0" applyNumberFormat="1" applyBorder="1" applyAlignment="1">
      <alignment horizontal="center"/>
    </xf>
    <xf numFmtId="10" fontId="0" fillId="0" borderId="3" xfId="0" applyNumberFormat="1" applyBorder="1" applyAlignment="1">
      <alignment horizontal="center"/>
    </xf>
    <xf numFmtId="0" fontId="0" fillId="0" borderId="0" xfId="0" applyAlignment="1">
      <alignment horizontal="center"/>
    </xf>
    <xf numFmtId="164" fontId="0" fillId="0" borderId="1" xfId="0" applyNumberFormat="1" applyBorder="1" applyAlignment="1">
      <alignment horizontal="center"/>
    </xf>
    <xf numFmtId="10" fontId="0" fillId="0" borderId="0" xfId="0" applyNumberFormat="1"/>
    <xf numFmtId="9" fontId="0" fillId="0" borderId="1" xfId="1" applyFont="1" applyBorder="1"/>
    <xf numFmtId="20" fontId="0" fillId="0" borderId="1" xfId="0" applyNumberFormat="1" applyBorder="1" applyAlignment="1">
      <alignment horizontal="center"/>
    </xf>
    <xf numFmtId="20" fontId="0" fillId="0" borderId="1" xfId="0" quotePrefix="1" applyNumberFormat="1" applyBorder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64" fontId="0" fillId="0" borderId="0" xfId="0" applyNumberFormat="1"/>
    <xf numFmtId="0" fontId="1" fillId="2" borderId="4" xfId="0" applyFont="1" applyFill="1" applyBorder="1" applyAlignment="1">
      <alignment horizontal="center" vertical="center" wrapText="1"/>
    </xf>
    <xf numFmtId="0" fontId="0" fillId="0" borderId="5" xfId="0" applyBorder="1" applyAlignment="1">
      <alignment wrapText="1"/>
    </xf>
    <xf numFmtId="0" fontId="5" fillId="3" borderId="1" xfId="0" applyFont="1" applyFill="1" applyBorder="1" applyAlignment="1">
      <alignment horizontal="center" vertical="center"/>
    </xf>
  </cellXfs>
  <cellStyles count="2">
    <cellStyle name="Normal" xfId="0" builtinId="0"/>
    <cellStyle name="Yüzd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microsoft.com/office/2007/relationships/slicerCache" Target="slicerCaches/slicerCache1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[Personel Veri Analizi Proje.xlsx]Pivot&amp;Grafik Sunumu!PivotTable1</c:name>
    <c:fmtId val="0"/>
  </c:pivotSource>
  <c:chart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'Pivot&amp;Grafik Sunumu'!$B$3</c:f>
              <c:strCache>
                <c:ptCount val="1"/>
                <c:pt idx="0">
                  <c:v>Toplam Satış Tutarı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'Pivot&amp;Grafik Sunumu'!$A$4:$A$13</c:f>
              <c:strCache>
                <c:ptCount val="9"/>
                <c:pt idx="0">
                  <c:v>Audit</c:v>
                </c:pt>
                <c:pt idx="1">
                  <c:v>Ceo Office</c:v>
                </c:pt>
                <c:pt idx="2">
                  <c:v>FN</c:v>
                </c:pt>
                <c:pt idx="3">
                  <c:v>HR</c:v>
                </c:pt>
                <c:pt idx="4">
                  <c:v>Ict</c:v>
                </c:pt>
                <c:pt idx="5">
                  <c:v>Marketing</c:v>
                </c:pt>
                <c:pt idx="6">
                  <c:v>NT</c:v>
                </c:pt>
                <c:pt idx="7">
                  <c:v>Procument</c:v>
                </c:pt>
                <c:pt idx="8">
                  <c:v>Satış</c:v>
                </c:pt>
              </c:strCache>
            </c:strRef>
          </c:cat>
          <c:val>
            <c:numRef>
              <c:f>'Pivot&amp;Grafik Sunumu'!$B$4:$B$13</c:f>
              <c:numCache>
                <c:formatCode>General</c:formatCode>
                <c:ptCount val="9"/>
                <c:pt idx="0">
                  <c:v>102000</c:v>
                </c:pt>
                <c:pt idx="1">
                  <c:v>650</c:v>
                </c:pt>
                <c:pt idx="2">
                  <c:v>45600</c:v>
                </c:pt>
                <c:pt idx="3">
                  <c:v>102000</c:v>
                </c:pt>
                <c:pt idx="4">
                  <c:v>97800</c:v>
                </c:pt>
                <c:pt idx="5">
                  <c:v>56000</c:v>
                </c:pt>
                <c:pt idx="6">
                  <c:v>138000</c:v>
                </c:pt>
                <c:pt idx="7">
                  <c:v>170850</c:v>
                </c:pt>
                <c:pt idx="8">
                  <c:v>147800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294-46BD-B4FF-25901FEC50D4}"/>
            </c:ext>
          </c:extLst>
        </c:ser>
        <c:ser>
          <c:idx val="1"/>
          <c:order val="1"/>
          <c:tx>
            <c:strRef>
              <c:f>'Pivot&amp;Grafik Sunumu'!$C$3</c:f>
              <c:strCache>
                <c:ptCount val="1"/>
                <c:pt idx="0">
                  <c:v>Toplam Satış Oranları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'Pivot&amp;Grafik Sunumu'!$A$4:$A$13</c:f>
              <c:strCache>
                <c:ptCount val="9"/>
                <c:pt idx="0">
                  <c:v>Audit</c:v>
                </c:pt>
                <c:pt idx="1">
                  <c:v>Ceo Office</c:v>
                </c:pt>
                <c:pt idx="2">
                  <c:v>FN</c:v>
                </c:pt>
                <c:pt idx="3">
                  <c:v>HR</c:v>
                </c:pt>
                <c:pt idx="4">
                  <c:v>Ict</c:v>
                </c:pt>
                <c:pt idx="5">
                  <c:v>Marketing</c:v>
                </c:pt>
                <c:pt idx="6">
                  <c:v>NT</c:v>
                </c:pt>
                <c:pt idx="7">
                  <c:v>Procument</c:v>
                </c:pt>
                <c:pt idx="8">
                  <c:v>Satış</c:v>
                </c:pt>
              </c:strCache>
            </c:strRef>
          </c:cat>
          <c:val>
            <c:numRef>
              <c:f>'Pivot&amp;Grafik Sunumu'!$C$4:$C$13</c:f>
              <c:numCache>
                <c:formatCode>0.00%</c:formatCode>
                <c:ptCount val="9"/>
                <c:pt idx="0">
                  <c:v>0.11850819100731963</c:v>
                </c:pt>
                <c:pt idx="1">
                  <c:v>7.5519925641919373E-4</c:v>
                </c:pt>
                <c:pt idx="2">
                  <c:v>5.2980132450331126E-2</c:v>
                </c:pt>
                <c:pt idx="3">
                  <c:v>0.11850819100731963</c:v>
                </c:pt>
                <c:pt idx="4">
                  <c:v>0.11362844196584175</c:v>
                </c:pt>
                <c:pt idx="5">
                  <c:v>6.506332055303822E-2</c:v>
                </c:pt>
                <c:pt idx="6">
                  <c:v>0.16033461136284419</c:v>
                </c:pt>
                <c:pt idx="7">
                  <c:v>0.19850121993726036</c:v>
                </c:pt>
                <c:pt idx="8">
                  <c:v>0.17172069245962587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294-46BD-B4FF-25901FEC50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582247328"/>
        <c:axId val="1105352416"/>
      </c:barChart>
      <c:catAx>
        <c:axId val="15822473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1105352416"/>
        <c:crosses val="autoZero"/>
        <c:auto val="1"/>
        <c:lblAlgn val="ctr"/>
        <c:lblOffset val="100"/>
        <c:noMultiLvlLbl val="0"/>
      </c:catAx>
      <c:valAx>
        <c:axId val="11053524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15822473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2</xdr:row>
      <xdr:rowOff>1</xdr:rowOff>
    </xdr:from>
    <xdr:to>
      <xdr:col>5</xdr:col>
      <xdr:colOff>361950</xdr:colOff>
      <xdr:row>13</xdr:row>
      <xdr:rowOff>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2" name="Bölge">
              <a:extLst>
                <a:ext uri="{FF2B5EF4-FFF2-40B4-BE49-F238E27FC236}">
                  <a16:creationId xmlns:a16="http://schemas.microsoft.com/office/drawing/2014/main" id="{E2DEA443-5D2E-2E7F-14C9-7F8ED179513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Bölg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600450" y="381001"/>
              <a:ext cx="1581150" cy="209549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tr-TR" sz="1100"/>
                <a:t>Bu şekil bir dilimleyiciyi gösterir. Dilimleyiciler Excel 2010 ve sonraki sürümlerde desteklenir.
Şekil daha önceki bir Excel sürümünde değiştirildiyse veya çalışma kitabı Excel 2003 veya önceki sürümünde kaydedildiyse, dilimleyici kullanılamaz.</a:t>
              </a:r>
            </a:p>
          </xdr:txBody>
        </xdr:sp>
      </mc:Fallback>
    </mc:AlternateContent>
    <xdr:clientData/>
  </xdr:twoCellAnchor>
  <xdr:twoCellAnchor>
    <xdr:from>
      <xdr:col>0</xdr:col>
      <xdr:colOff>500062</xdr:colOff>
      <xdr:row>13</xdr:row>
      <xdr:rowOff>14287</xdr:rowOff>
    </xdr:from>
    <xdr:to>
      <xdr:col>5</xdr:col>
      <xdr:colOff>161925</xdr:colOff>
      <xdr:row>27</xdr:row>
      <xdr:rowOff>76200</xdr:rowOff>
    </xdr:to>
    <xdr:graphicFrame macro="">
      <xdr:nvGraphicFramePr>
        <xdr:cNvPr id="3" name="Grafik 2">
          <a:extLst>
            <a:ext uri="{FF2B5EF4-FFF2-40B4-BE49-F238E27FC236}">
              <a16:creationId xmlns:a16="http://schemas.microsoft.com/office/drawing/2014/main" id="{10FEBE85-BBF8-B02C-7EA9-A601CDB12D1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urak dikmen" refreshedDate="46219.590803356485" createdVersion="8" refreshedVersion="8" minRefreshableVersion="3" recordCount="20" xr:uid="{8D6C8C28-B974-4EBB-948C-4BBDD4433004}">
  <cacheSource type="worksheet">
    <worksheetSource ref="A1:N21" sheet="Pivot&amp;Grafik"/>
  </cacheSource>
  <cacheFields count="14">
    <cacheField name="Ad Soyad" numFmtId="0">
      <sharedItems/>
    </cacheField>
    <cacheField name="Doğum Yılı" numFmtId="14">
      <sharedItems containsSemiMixedTypes="0" containsNonDate="0" containsDate="1" containsString="0" minDate="1978-08-11T00:00:00" maxDate="2000-09-29T00:00:00"/>
    </cacheField>
    <cacheField name="Ünvanı" numFmtId="0">
      <sharedItems/>
    </cacheField>
    <cacheField name="Grade" numFmtId="0">
      <sharedItems containsSemiMixedTypes="0" containsString="0" containsNumber="1" containsInteger="1" minValue="1" maxValue="5"/>
    </cacheField>
    <cacheField name="Cinsiyeti" numFmtId="0">
      <sharedItems/>
    </cacheField>
    <cacheField name="Yaşadığı Şehir" numFmtId="0">
      <sharedItems/>
    </cacheField>
    <cacheField name="Kıdem" numFmtId="0">
      <sharedItems containsSemiMixedTypes="0" containsString="0" containsNumber="1" minValue="1.98" maxValue="21.75"/>
    </cacheField>
    <cacheField name="Bölümü" numFmtId="0">
      <sharedItems count="9">
        <s v="HR"/>
        <s v="Audit"/>
        <s v="Satış"/>
        <s v="NT"/>
        <s v="Marketing"/>
        <s v="Ict"/>
        <s v="Procument"/>
        <s v="FN"/>
        <s v="Ceo Office"/>
      </sharedItems>
    </cacheField>
    <cacheField name="Bölge" numFmtId="0">
      <sharedItems count="6">
        <s v="Marmara"/>
        <s v="Akdeniz"/>
        <s v="Doğu Anadolu"/>
        <s v="İç Anadolu"/>
        <s v="Karadeniz"/>
        <s v="Güneydoğu Anadolu"/>
      </sharedItems>
    </cacheField>
    <cacheField name="Telefon Numarası" numFmtId="0">
      <sharedItems containsSemiMixedTypes="0" containsString="0" containsNumber="1" containsInteger="1" minValue="5322000001" maxValue="5322000022"/>
    </cacheField>
    <cacheField name="Satış Miktarı" numFmtId="0">
      <sharedItems containsSemiMixedTypes="0" containsString="0" containsNumber="1" containsInteger="1" minValue="0" maxValue="18"/>
    </cacheField>
    <cacheField name="Satış Tutarı" numFmtId="0">
      <sharedItems containsSemiMixedTypes="0" containsString="0" containsNumber="1" containsInteger="1" minValue="0" maxValue="102000"/>
    </cacheField>
    <cacheField name="Satış Kategorisi" numFmtId="0">
      <sharedItems containsBlank="1"/>
    </cacheField>
    <cacheField name="Sınav Sonucu" numFmtId="0">
      <sharedItems containsSemiMixedTypes="0" containsString="0" containsNumber="1" containsInteger="1" minValue="57" maxValue="98"/>
    </cacheField>
  </cacheFields>
  <extLst>
    <ext xmlns:x14="http://schemas.microsoft.com/office/spreadsheetml/2009/9/main" uri="{725AE2AE-9491-48be-B2B4-4EB974FC3084}">
      <x14:pivotCacheDefinition pivotCacheId="736029997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">
  <r>
    <s v="Ahu Erdem"/>
    <d v="1980-01-31T00:00:00"/>
    <s v="Uzman"/>
    <n v="3"/>
    <s v="Kadın"/>
    <s v="Balıkesir"/>
    <n v="10.3"/>
    <x v="0"/>
    <x v="0"/>
    <n v="5322000001"/>
    <n v="7"/>
    <n v="35000"/>
    <s v="Cihaz"/>
    <n v="78"/>
  </r>
  <r>
    <s v="Arzu Bahar"/>
    <d v="1985-01-27T00:00:00"/>
    <s v="Direktör"/>
    <n v="5"/>
    <s v="Kadın"/>
    <s v="İstanbul"/>
    <n v="15.9"/>
    <x v="1"/>
    <x v="0"/>
    <n v="5322000003"/>
    <n v="0"/>
    <n v="0"/>
    <m/>
    <n v="93"/>
  </r>
  <r>
    <s v="Bahar Alyanak"/>
    <d v="1982-06-15T00:00:00"/>
    <s v="Müdür"/>
    <n v="4"/>
    <s v="Kadın"/>
    <s v="Muğla"/>
    <n v="18"/>
    <x v="2"/>
    <x v="1"/>
    <n v="5322000004"/>
    <n v="9"/>
    <n v="45000"/>
    <s v="Elektronik"/>
    <n v="67"/>
  </r>
  <r>
    <s v="Sami Kırgız"/>
    <d v="1995-09-13T00:00:00"/>
    <s v="Uzman"/>
    <n v="3"/>
    <s v="Erkek"/>
    <s v="Adana"/>
    <n v="7.12"/>
    <x v="2"/>
    <x v="1"/>
    <n v="5322000005"/>
    <n v="18"/>
    <n v="95000"/>
    <s v="Elektronik"/>
    <n v="89"/>
  </r>
  <r>
    <s v="Mahir Kal"/>
    <d v="1998-10-23T00:00:00"/>
    <s v="Uzman"/>
    <n v="1"/>
    <s v="Erkek"/>
    <s v="Van"/>
    <n v="3.7"/>
    <x v="3"/>
    <x v="2"/>
    <n v="5322000006"/>
    <n v="2"/>
    <n v="10000"/>
    <s v="Cihaz"/>
    <n v="72"/>
  </r>
  <r>
    <s v="Kemal Kar"/>
    <d v="1987-02-24T00:00:00"/>
    <s v="Müdür"/>
    <n v="4"/>
    <s v="Erkek"/>
    <s v="Kocaeli"/>
    <n v="19.52"/>
    <x v="0"/>
    <x v="0"/>
    <n v="5322000007"/>
    <n v="8"/>
    <n v="67000"/>
    <s v="Aksesuar"/>
    <n v="95"/>
  </r>
  <r>
    <s v="Pınar Yeşilyurt"/>
    <d v="1981-06-16T00:00:00"/>
    <s v="Uzman"/>
    <n v="4"/>
    <s v="Kadın"/>
    <s v="Ankara"/>
    <n v="21.1"/>
    <x v="4"/>
    <x v="3"/>
    <n v="5322000008"/>
    <n v="7"/>
    <n v="56000"/>
    <s v="Cihaz"/>
    <n v="62"/>
  </r>
  <r>
    <s v="Şeyma Kadı"/>
    <d v="1999-07-18T00:00:00"/>
    <s v="Uzman"/>
    <n v="1"/>
    <s v="Kadın"/>
    <s v="Trabzon"/>
    <n v="4.2"/>
    <x v="5"/>
    <x v="4"/>
    <n v="5322000009"/>
    <n v="9"/>
    <n v="72800"/>
    <s v="Elektronik"/>
    <n v="91"/>
  </r>
  <r>
    <s v="Aslıhan Güneş"/>
    <d v="1990-09-26T00:00:00"/>
    <s v="Müdür"/>
    <n v="3"/>
    <s v="Kadın"/>
    <s v="Bursa"/>
    <n v="7.8"/>
    <x v="5"/>
    <x v="0"/>
    <n v="5322000010"/>
    <n v="2"/>
    <n v="5000"/>
    <s v="Aksesuar"/>
    <n v="87"/>
  </r>
  <r>
    <s v="Mert Yazı"/>
    <d v="1988-10-12T00:00:00"/>
    <s v="Müdür"/>
    <n v="4"/>
    <s v="Erkek"/>
    <s v="Gaziantep"/>
    <n v="17.54"/>
    <x v="3"/>
    <x v="5"/>
    <n v="5322000011"/>
    <n v="5"/>
    <n v="50000"/>
    <s v="Cihaz"/>
    <n v="98"/>
  </r>
  <r>
    <s v="Kenan Bar"/>
    <d v="1991-11-30T00:00:00"/>
    <s v="Uzman"/>
    <n v="3"/>
    <s v="Erkek"/>
    <s v="Zonguldak"/>
    <n v="3.6"/>
    <x v="5"/>
    <x v="4"/>
    <n v="5322000012"/>
    <n v="2"/>
    <n v="20000"/>
    <s v="Elektronik"/>
    <n v="82"/>
  </r>
  <r>
    <s v="Kağan Mana"/>
    <d v="2000-04-23T00:00:00"/>
    <s v="Uzman"/>
    <n v="2"/>
    <s v="Erkek"/>
    <s v="Tekirdağ"/>
    <n v="1.98"/>
    <x v="6"/>
    <x v="0"/>
    <n v="5322000013"/>
    <n v="1"/>
    <n v="60500"/>
    <s v="Elektronik"/>
    <n v="76"/>
  </r>
  <r>
    <s v="Mehmet Tam"/>
    <d v="1978-08-11T00:00:00"/>
    <s v="Direktör"/>
    <n v="4"/>
    <s v="Erkek"/>
    <s v="İstanbul"/>
    <n v="21.75"/>
    <x v="5"/>
    <x v="0"/>
    <n v="5322000015"/>
    <n v="0"/>
    <n v="0"/>
    <m/>
    <n v="87"/>
  </r>
  <r>
    <s v="Muhsin Ildaş"/>
    <d v="1991-11-26T00:00:00"/>
    <s v="Müdür"/>
    <n v="4"/>
    <s v="Erkek"/>
    <s v="Eskişehir"/>
    <n v="10.6"/>
    <x v="6"/>
    <x v="3"/>
    <n v="5322000016"/>
    <n v="9"/>
    <n v="54300"/>
    <s v="Cihaz"/>
    <n v="77"/>
  </r>
  <r>
    <s v="Ahsen Göz"/>
    <d v="2000-09-28T00:00:00"/>
    <s v="Uzman"/>
    <n v="2"/>
    <s v="Kadın"/>
    <s v="Ankara"/>
    <n v="3"/>
    <x v="7"/>
    <x v="3"/>
    <n v="5322000017"/>
    <n v="7"/>
    <n v="45600"/>
    <s v="Aksesuar"/>
    <n v="65"/>
  </r>
  <r>
    <s v="Halim Sevgi"/>
    <d v="1983-05-19T00:00:00"/>
    <s v="Müdür"/>
    <n v="4"/>
    <s v="Erkek"/>
    <s v="Antalya"/>
    <n v="9.8000000000000007"/>
    <x v="2"/>
    <x v="1"/>
    <n v="5322000018"/>
    <n v="2"/>
    <n v="7800"/>
    <s v="Aksesuar"/>
    <n v="69"/>
  </r>
  <r>
    <s v="Musa Tamam"/>
    <d v="1998-07-28T00:00:00"/>
    <s v="Uzman"/>
    <n v="3"/>
    <s v="Erkek"/>
    <s v="Adıyaman"/>
    <n v="8.9"/>
    <x v="3"/>
    <x v="5"/>
    <n v="5322000019"/>
    <n v="6"/>
    <n v="78000"/>
    <s v="Elektronik"/>
    <n v="84"/>
  </r>
  <r>
    <s v="Reyhan Hamam"/>
    <d v="1986-02-28T00:00:00"/>
    <s v="Müdür"/>
    <n v="4"/>
    <s v="Kadın"/>
    <s v="Kayseri"/>
    <n v="17.3"/>
    <x v="1"/>
    <x v="3"/>
    <n v="5322000020"/>
    <n v="9"/>
    <n v="102000"/>
    <s v="Cihaz"/>
    <n v="97"/>
  </r>
  <r>
    <s v="Havva Kaba"/>
    <d v="1993-04-13T00:00:00"/>
    <s v="Uzman"/>
    <n v="3"/>
    <s v="Kadın"/>
    <s v="Aksaray"/>
    <n v="7.4"/>
    <x v="8"/>
    <x v="3"/>
    <n v="5322000021"/>
    <n v="1"/>
    <n v="650"/>
    <s v="Aksesuar"/>
    <n v="57"/>
  </r>
  <r>
    <s v="Tekin Mısır"/>
    <d v="1999-04-21T00:00:00"/>
    <s v="Uzman"/>
    <n v="2"/>
    <s v="Erkek"/>
    <s v="Eskişehir"/>
    <n v="3.7"/>
    <x v="6"/>
    <x v="3"/>
    <n v="5322000022"/>
    <n v="4"/>
    <n v="56050"/>
    <s v="Elektronik"/>
    <n v="8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999A3CD-BD9A-4D56-8BBC-6FDAD24E3248}" name="PivotTable1" cacheId="4" applyNumberFormats="0" applyBorderFormats="0" applyFontFormats="0" applyPatternFormats="0" applyAlignmentFormats="0" applyWidthHeightFormats="1" dataCaption="Değerler" updatedVersion="8" minRefreshableVersion="3" useAutoFormatting="1" itemPrintTitles="1" createdVersion="8" indent="0" outline="1" outlineData="1" multipleFieldFilters="0" chartFormat="4">
  <location ref="A3:C13" firstHeaderRow="0" firstDataRow="1" firstDataCol="1"/>
  <pivotFields count="14">
    <pivotField showAll="0"/>
    <pivotField numFmtId="14" showAll="0"/>
    <pivotField showAll="0"/>
    <pivotField showAll="0"/>
    <pivotField showAll="0"/>
    <pivotField showAll="0"/>
    <pivotField showAll="0"/>
    <pivotField axis="axisRow" showAll="0">
      <items count="10">
        <item x="1"/>
        <item x="8"/>
        <item x="7"/>
        <item x="0"/>
        <item x="5"/>
        <item x="4"/>
        <item x="3"/>
        <item x="6"/>
        <item x="2"/>
        <item t="default"/>
      </items>
    </pivotField>
    <pivotField showAll="0">
      <items count="7">
        <item x="1"/>
        <item x="2"/>
        <item x="5"/>
        <item x="3"/>
        <item x="4"/>
        <item x="0"/>
        <item t="default"/>
      </items>
    </pivotField>
    <pivotField showAll="0"/>
    <pivotField showAll="0"/>
    <pivotField dataField="1" showAll="0"/>
    <pivotField showAll="0"/>
    <pivotField showAll="0"/>
  </pivotFields>
  <rowFields count="1">
    <field x="7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-2"/>
  </colFields>
  <colItems count="2">
    <i>
      <x/>
    </i>
    <i i="1">
      <x v="1"/>
    </i>
  </colItems>
  <dataFields count="2">
    <dataField name="Toplam Satış Tutarı" fld="11" baseField="0" baseItem="0"/>
    <dataField name="Toplam Satış Oranları" fld="11" showDataAs="percentOfTotal" baseField="0" baseItem="0" numFmtId="1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Dilimleyici_Bölge" xr10:uid="{4EE366D3-5030-433F-BC9A-1DD6D10CDEED}" sourceName="Bölge">
  <pivotTables>
    <pivotTable tabId="7" name="PivotTable1"/>
  </pivotTables>
  <data>
    <tabular pivotCacheId="736029997">
      <items count="6">
        <i x="1" s="1"/>
        <i x="2" s="1"/>
        <i x="5" s="1"/>
        <i x="3" s="1"/>
        <i x="4" s="1"/>
        <i x="0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Bölge" xr10:uid="{78668724-C36C-4856-8943-707C12BA1DEF}" cache="Dilimleyici_Bölge" caption="Bölge" style="SlicerStyleLight6" rowHeight="241300"/>
</slicers>
</file>

<file path=xl/theme/theme1.xml><?xml version="1.0" encoding="utf-8"?>
<a:theme xmlns:a="http://schemas.openxmlformats.org/drawingml/2006/main" name="Office 2013 - 2022 Teması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AA19A1-C3FE-4DF2-A669-3106E5C06AC4}">
  <dimension ref="A1:M12"/>
  <sheetViews>
    <sheetView showGridLines="0" workbookViewId="0">
      <selection activeCell="G23" sqref="G23"/>
    </sheetView>
  </sheetViews>
  <sheetFormatPr defaultRowHeight="15" x14ac:dyDescent="0.25"/>
  <cols>
    <col min="3" max="3" width="13.42578125" customWidth="1"/>
    <col min="4" max="4" width="11.28515625" customWidth="1"/>
    <col min="5" max="5" width="16.42578125" customWidth="1"/>
    <col min="6" max="6" width="20.7109375" customWidth="1"/>
    <col min="7" max="7" width="13" customWidth="1"/>
    <col min="8" max="8" width="12.28515625" customWidth="1"/>
  </cols>
  <sheetData>
    <row r="1" spans="1:13" ht="15.75" x14ac:dyDescent="0.25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</row>
    <row r="2" spans="1:13" x14ac:dyDescent="0.25">
      <c r="A2" s="10" t="s">
        <v>8</v>
      </c>
      <c r="B2" s="10" t="s">
        <v>9</v>
      </c>
      <c r="C2" s="11">
        <v>36359</v>
      </c>
      <c r="D2" s="10" t="s">
        <v>10</v>
      </c>
      <c r="E2" s="10" t="s">
        <v>11</v>
      </c>
      <c r="F2" s="11">
        <v>40209</v>
      </c>
      <c r="G2" s="12">
        <v>72800</v>
      </c>
      <c r="H2" s="13">
        <v>0.35</v>
      </c>
      <c r="M2" t="s">
        <v>12</v>
      </c>
    </row>
    <row r="3" spans="1:13" x14ac:dyDescent="0.25">
      <c r="A3" s="10" t="s">
        <v>13</v>
      </c>
      <c r="B3" s="10" t="s">
        <v>14</v>
      </c>
      <c r="C3" s="11">
        <v>33142</v>
      </c>
      <c r="D3" s="10" t="s">
        <v>15</v>
      </c>
      <c r="E3" s="10" t="s">
        <v>16</v>
      </c>
      <c r="F3" s="11">
        <v>38380</v>
      </c>
      <c r="G3" s="12">
        <v>5000</v>
      </c>
      <c r="H3" s="13">
        <v>0.55000000000000004</v>
      </c>
      <c r="M3" t="s">
        <v>17</v>
      </c>
    </row>
    <row r="4" spans="1:13" x14ac:dyDescent="0.25">
      <c r="A4" s="10" t="s">
        <v>18</v>
      </c>
      <c r="B4" s="10" t="s">
        <v>19</v>
      </c>
      <c r="C4" s="11">
        <v>32428</v>
      </c>
      <c r="D4" s="10" t="s">
        <v>15</v>
      </c>
      <c r="E4" s="10" t="s">
        <v>20</v>
      </c>
      <c r="F4" s="11">
        <v>39914</v>
      </c>
      <c r="G4" s="12">
        <v>50000</v>
      </c>
      <c r="H4" s="13">
        <v>0.85</v>
      </c>
      <c r="M4" t="s">
        <v>21</v>
      </c>
    </row>
    <row r="5" spans="1:13" x14ac:dyDescent="0.25">
      <c r="A5" s="10" t="s">
        <v>22</v>
      </c>
      <c r="B5" s="10" t="s">
        <v>23</v>
      </c>
      <c r="C5" s="11">
        <v>33572</v>
      </c>
      <c r="D5" s="10" t="s">
        <v>10</v>
      </c>
      <c r="E5" s="10" t="s">
        <v>24</v>
      </c>
      <c r="F5" s="11">
        <v>43851</v>
      </c>
      <c r="G5" s="12">
        <v>20000</v>
      </c>
      <c r="H5" s="13">
        <v>0.9</v>
      </c>
      <c r="M5" t="s">
        <v>25</v>
      </c>
    </row>
    <row r="6" spans="1:13" x14ac:dyDescent="0.25">
      <c r="A6" s="10" t="s">
        <v>26</v>
      </c>
      <c r="B6" s="10" t="s">
        <v>27</v>
      </c>
      <c r="C6" s="11">
        <v>36639</v>
      </c>
      <c r="D6" s="10" t="s">
        <v>10</v>
      </c>
      <c r="E6" s="10" t="s">
        <v>28</v>
      </c>
      <c r="F6" s="11">
        <v>44334</v>
      </c>
      <c r="G6" s="12">
        <v>60500</v>
      </c>
      <c r="H6" s="13">
        <v>1.1499999999999999</v>
      </c>
      <c r="M6" t="s">
        <v>29</v>
      </c>
    </row>
    <row r="7" spans="1:13" x14ac:dyDescent="0.25">
      <c r="A7" s="10" t="s">
        <v>30</v>
      </c>
      <c r="B7" s="10" t="s">
        <v>14</v>
      </c>
      <c r="C7" s="11">
        <v>35521</v>
      </c>
      <c r="D7" s="10" t="s">
        <v>10</v>
      </c>
      <c r="E7" s="10" t="s">
        <v>31</v>
      </c>
      <c r="F7" s="11">
        <v>45089</v>
      </c>
      <c r="G7" s="12">
        <v>30000</v>
      </c>
      <c r="H7" s="13">
        <v>0.12</v>
      </c>
      <c r="M7" t="s">
        <v>32</v>
      </c>
    </row>
    <row r="8" spans="1:13" x14ac:dyDescent="0.25">
      <c r="A8" s="10" t="s">
        <v>33</v>
      </c>
      <c r="B8" s="10" t="s">
        <v>34</v>
      </c>
      <c r="C8" s="11">
        <v>28713</v>
      </c>
      <c r="D8" s="10" t="s">
        <v>35</v>
      </c>
      <c r="E8" s="10" t="s">
        <v>36</v>
      </c>
      <c r="F8" s="11">
        <v>45549</v>
      </c>
      <c r="G8" s="12">
        <v>0</v>
      </c>
      <c r="H8" s="13">
        <v>0.76</v>
      </c>
    </row>
    <row r="9" spans="1:13" x14ac:dyDescent="0.25">
      <c r="A9" s="10" t="s">
        <v>37</v>
      </c>
      <c r="B9" s="10" t="s">
        <v>38</v>
      </c>
      <c r="C9" s="11">
        <v>33568</v>
      </c>
      <c r="D9" s="10" t="s">
        <v>15</v>
      </c>
      <c r="E9" s="10" t="s">
        <v>39</v>
      </c>
      <c r="F9" s="11">
        <v>43664</v>
      </c>
      <c r="G9" s="12">
        <v>54300</v>
      </c>
      <c r="H9" s="13">
        <v>1.21</v>
      </c>
    </row>
    <row r="10" spans="1:13" x14ac:dyDescent="0.25">
      <c r="A10" s="10" t="s">
        <v>40</v>
      </c>
      <c r="B10" s="10" t="s">
        <v>41</v>
      </c>
      <c r="C10" s="11">
        <v>36797</v>
      </c>
      <c r="D10" s="10" t="s">
        <v>10</v>
      </c>
      <c r="E10" s="10" t="s">
        <v>42</v>
      </c>
      <c r="F10" s="11">
        <v>38380</v>
      </c>
      <c r="G10" s="12">
        <v>45600</v>
      </c>
      <c r="H10" s="13">
        <v>0.9</v>
      </c>
    </row>
    <row r="11" spans="1:13" x14ac:dyDescent="0.25">
      <c r="A11" s="10" t="s">
        <v>43</v>
      </c>
      <c r="B11" s="10" t="s">
        <v>44</v>
      </c>
      <c r="C11" s="11">
        <v>30455</v>
      </c>
      <c r="D11" s="10" t="s">
        <v>15</v>
      </c>
      <c r="E11" s="10" t="s">
        <v>45</v>
      </c>
      <c r="F11" s="11">
        <v>39914</v>
      </c>
      <c r="G11" s="12">
        <v>7800</v>
      </c>
      <c r="H11" s="13">
        <v>1.19</v>
      </c>
    </row>
    <row r="12" spans="1:13" x14ac:dyDescent="0.25">
      <c r="A12" s="10" t="s">
        <v>46</v>
      </c>
      <c r="B12" s="10" t="s">
        <v>47</v>
      </c>
      <c r="C12" s="11">
        <v>36004</v>
      </c>
      <c r="D12" s="10" t="s">
        <v>10</v>
      </c>
      <c r="E12" s="10" t="s">
        <v>48</v>
      </c>
      <c r="F12" s="11">
        <v>43664</v>
      </c>
      <c r="G12" s="12">
        <v>78000</v>
      </c>
      <c r="H12" s="13">
        <v>0.76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E2CC9D-804A-47BA-B8F7-7F37D4712792}">
  <dimension ref="A1:H12"/>
  <sheetViews>
    <sheetView topLeftCell="C1" workbookViewId="0">
      <selection activeCell="D1" sqref="D1:F1"/>
    </sheetView>
  </sheetViews>
  <sheetFormatPr defaultRowHeight="15" x14ac:dyDescent="0.25"/>
  <cols>
    <col min="1" max="1" width="16" customWidth="1"/>
    <col min="2" max="2" width="13.5703125" customWidth="1"/>
    <col min="3" max="3" width="16" customWidth="1"/>
    <col min="4" max="4" width="16.28515625" customWidth="1"/>
    <col min="5" max="5" width="14.85546875" customWidth="1"/>
    <col min="6" max="6" width="11.85546875" customWidth="1"/>
    <col min="7" max="7" width="8.5703125" customWidth="1"/>
  </cols>
  <sheetData>
    <row r="1" spans="1:8" x14ac:dyDescent="0.25">
      <c r="A1" t="s">
        <v>0</v>
      </c>
      <c r="B1" t="s">
        <v>1</v>
      </c>
      <c r="C1" t="s">
        <v>156</v>
      </c>
      <c r="D1" s="14" t="s">
        <v>156</v>
      </c>
      <c r="E1" s="14" t="s">
        <v>156</v>
      </c>
      <c r="F1" s="14" t="s">
        <v>156</v>
      </c>
    </row>
    <row r="2" spans="1:8" x14ac:dyDescent="0.25">
      <c r="A2" t="s">
        <v>49</v>
      </c>
      <c r="B2" t="s">
        <v>50</v>
      </c>
      <c r="C2" t="str">
        <f>PROPER(TRIM(A2)) &amp; " " &amp; PROPER(TRIM(B2))</f>
        <v>Şeyma Kadı</v>
      </c>
      <c r="D2" s="14" t="s">
        <v>127</v>
      </c>
      <c r="E2" s="14" t="s">
        <v>8</v>
      </c>
      <c r="F2" s="14" t="s">
        <v>9</v>
      </c>
      <c r="H2" t="s">
        <v>51</v>
      </c>
    </row>
    <row r="3" spans="1:8" x14ac:dyDescent="0.25">
      <c r="A3" t="s">
        <v>52</v>
      </c>
      <c r="B3" t="s">
        <v>53</v>
      </c>
      <c r="C3" t="str">
        <f t="shared" ref="C3:D12" si="0">PROPER(TRIM(A3)) &amp; " " &amp; PROPER(TRIM(B3))</f>
        <v>Aslıhan Güneş</v>
      </c>
      <c r="D3" s="14" t="s">
        <v>130</v>
      </c>
      <c r="E3" s="14" t="s">
        <v>13</v>
      </c>
      <c r="F3" s="14" t="s">
        <v>14</v>
      </c>
      <c r="H3" t="s">
        <v>54</v>
      </c>
    </row>
    <row r="4" spans="1:8" x14ac:dyDescent="0.25">
      <c r="A4" t="s">
        <v>55</v>
      </c>
      <c r="B4" t="s">
        <v>56</v>
      </c>
      <c r="C4" t="str">
        <f t="shared" si="0"/>
        <v>Mert Yazı</v>
      </c>
      <c r="D4" s="14" t="s">
        <v>131</v>
      </c>
      <c r="E4" s="14" t="s">
        <v>18</v>
      </c>
      <c r="F4" s="14" t="s">
        <v>19</v>
      </c>
      <c r="H4" t="s">
        <v>57</v>
      </c>
    </row>
    <row r="5" spans="1:8" x14ac:dyDescent="0.25">
      <c r="A5" t="s">
        <v>58</v>
      </c>
      <c r="B5" t="s">
        <v>59</v>
      </c>
      <c r="C5" t="str">
        <f t="shared" si="0"/>
        <v>Kenan Bar</v>
      </c>
      <c r="D5" s="14" t="s">
        <v>133</v>
      </c>
      <c r="E5" s="14" t="s">
        <v>22</v>
      </c>
      <c r="F5" s="14" t="s">
        <v>23</v>
      </c>
    </row>
    <row r="6" spans="1:8" x14ac:dyDescent="0.25">
      <c r="A6" t="s">
        <v>60</v>
      </c>
      <c r="B6" t="s">
        <v>61</v>
      </c>
      <c r="C6" t="str">
        <f t="shared" si="0"/>
        <v>Kağan Mana</v>
      </c>
      <c r="D6" s="14" t="s">
        <v>134</v>
      </c>
      <c r="E6" s="14" t="s">
        <v>26</v>
      </c>
      <c r="F6" s="14" t="s">
        <v>27</v>
      </c>
    </row>
    <row r="7" spans="1:8" x14ac:dyDescent="0.25">
      <c r="A7" t="s">
        <v>62</v>
      </c>
      <c r="B7" t="s">
        <v>63</v>
      </c>
      <c r="C7" t="str">
        <f t="shared" si="0"/>
        <v>Ayşe Güneş</v>
      </c>
      <c r="D7" s="14" t="s">
        <v>157</v>
      </c>
      <c r="E7" s="14" t="s">
        <v>30</v>
      </c>
      <c r="F7" s="14" t="s">
        <v>14</v>
      </c>
    </row>
    <row r="8" spans="1:8" x14ac:dyDescent="0.25">
      <c r="A8" t="s">
        <v>64</v>
      </c>
      <c r="B8" t="s">
        <v>65</v>
      </c>
      <c r="C8" t="str">
        <f t="shared" si="0"/>
        <v>Mehmet Tam</v>
      </c>
      <c r="D8" s="14" t="s">
        <v>136</v>
      </c>
      <c r="E8" s="14" t="s">
        <v>33</v>
      </c>
      <c r="F8" s="14" t="s">
        <v>34</v>
      </c>
    </row>
    <row r="9" spans="1:8" x14ac:dyDescent="0.25">
      <c r="A9" t="s">
        <v>66</v>
      </c>
      <c r="B9" t="s">
        <v>67</v>
      </c>
      <c r="C9" t="str">
        <f t="shared" si="0"/>
        <v>Muhsin Ildaş</v>
      </c>
      <c r="D9" s="14" t="s">
        <v>137</v>
      </c>
      <c r="E9" s="14" t="s">
        <v>37</v>
      </c>
      <c r="F9" s="14" t="s">
        <v>38</v>
      </c>
    </row>
    <row r="10" spans="1:8" x14ac:dyDescent="0.25">
      <c r="A10" t="s">
        <v>68</v>
      </c>
      <c r="B10" t="s">
        <v>41</v>
      </c>
      <c r="C10" t="str">
        <f t="shared" si="0"/>
        <v>Ahsen Göz</v>
      </c>
      <c r="D10" s="14" t="s">
        <v>138</v>
      </c>
      <c r="E10" s="14" t="s">
        <v>40</v>
      </c>
      <c r="F10" s="14" t="s">
        <v>41</v>
      </c>
    </row>
    <row r="11" spans="1:8" x14ac:dyDescent="0.25">
      <c r="A11" t="s">
        <v>69</v>
      </c>
      <c r="B11" t="s">
        <v>44</v>
      </c>
      <c r="C11" t="str">
        <f t="shared" si="0"/>
        <v>Halim Sevgi</v>
      </c>
      <c r="D11" s="14" t="s">
        <v>140</v>
      </c>
      <c r="E11" s="14" t="s">
        <v>43</v>
      </c>
      <c r="F11" s="14" t="s">
        <v>44</v>
      </c>
    </row>
    <row r="12" spans="1:8" x14ac:dyDescent="0.25">
      <c r="A12" t="s">
        <v>70</v>
      </c>
      <c r="B12" t="s">
        <v>71</v>
      </c>
      <c r="C12" t="str">
        <f t="shared" si="0"/>
        <v>Musa Tamam</v>
      </c>
      <c r="D12" s="14" t="s">
        <v>141</v>
      </c>
      <c r="E12" s="14" t="s">
        <v>46</v>
      </c>
      <c r="F12" s="14" t="s">
        <v>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C389AA-E8EE-48CB-9307-8E9C42BA1C2F}">
  <dimension ref="A3:G17"/>
  <sheetViews>
    <sheetView topLeftCell="A4" workbookViewId="0">
      <selection activeCell="B17" sqref="B17"/>
    </sheetView>
  </sheetViews>
  <sheetFormatPr defaultRowHeight="15" x14ac:dyDescent="0.25"/>
  <cols>
    <col min="3" max="3" width="11.85546875" customWidth="1"/>
    <col min="4" max="4" width="12.85546875" customWidth="1"/>
    <col min="5" max="5" width="14.7109375" customWidth="1"/>
  </cols>
  <sheetData>
    <row r="3" spans="1:7" x14ac:dyDescent="0.25">
      <c r="A3" s="2" t="s">
        <v>0</v>
      </c>
      <c r="B3" s="2" t="s">
        <v>1</v>
      </c>
      <c r="C3" s="2" t="s">
        <v>72</v>
      </c>
      <c r="D3" s="2" t="s">
        <v>73</v>
      </c>
      <c r="E3" s="2" t="s">
        <v>74</v>
      </c>
    </row>
    <row r="4" spans="1:7" x14ac:dyDescent="0.25">
      <c r="A4" s="3" t="s">
        <v>75</v>
      </c>
      <c r="B4" s="3" t="s">
        <v>76</v>
      </c>
      <c r="C4" s="15">
        <v>30000</v>
      </c>
      <c r="D4" s="4">
        <v>0.12</v>
      </c>
      <c r="E4" s="15">
        <f>C4*(1+D4)</f>
        <v>33600</v>
      </c>
      <c r="G4" t="s">
        <v>77</v>
      </c>
    </row>
    <row r="8" spans="1:7" ht="45" x14ac:dyDescent="0.25">
      <c r="A8" s="5" t="s">
        <v>78</v>
      </c>
      <c r="B8" s="5" t="s">
        <v>79</v>
      </c>
      <c r="C8" s="6" t="s">
        <v>80</v>
      </c>
    </row>
    <row r="9" spans="1:7" x14ac:dyDescent="0.25">
      <c r="A9" s="7">
        <v>3000</v>
      </c>
      <c r="B9" s="7">
        <v>4000</v>
      </c>
      <c r="C9" s="17">
        <f>(B9-A9)/A9</f>
        <v>0.33333333333333331</v>
      </c>
      <c r="G9" t="s">
        <v>81</v>
      </c>
    </row>
    <row r="15" spans="1:7" ht="30" x14ac:dyDescent="0.25">
      <c r="A15" s="5" t="s">
        <v>82</v>
      </c>
      <c r="B15" s="18">
        <v>0.70833333333333337</v>
      </c>
    </row>
    <row r="16" spans="1:7" ht="30" x14ac:dyDescent="0.25">
      <c r="A16" s="5" t="s">
        <v>83</v>
      </c>
      <c r="B16" s="18">
        <v>5.2083333333333336E-2</v>
      </c>
      <c r="G16" t="s">
        <v>84</v>
      </c>
    </row>
    <row r="17" spans="1:2" ht="30" x14ac:dyDescent="0.25">
      <c r="A17" s="5" t="s">
        <v>85</v>
      </c>
      <c r="B17" s="19">
        <f>MOD(B16-B15,1)</f>
        <v>0.34375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6584F5-8FB2-40B0-A0BC-DB19BFABE820}">
  <dimension ref="A3:C13"/>
  <sheetViews>
    <sheetView workbookViewId="0">
      <selection activeCell="I22" sqref="I22"/>
    </sheetView>
  </sheetViews>
  <sheetFormatPr defaultRowHeight="15" x14ac:dyDescent="0.25"/>
  <cols>
    <col min="1" max="1" width="16" bestFit="1" customWidth="1"/>
    <col min="2" max="2" width="18" bestFit="1" customWidth="1"/>
    <col min="3" max="3" width="20" bestFit="1" customWidth="1"/>
  </cols>
  <sheetData>
    <row r="3" spans="1:3" x14ac:dyDescent="0.25">
      <c r="A3" s="20" t="s">
        <v>158</v>
      </c>
      <c r="B3" t="s">
        <v>160</v>
      </c>
      <c r="C3" t="s">
        <v>161</v>
      </c>
    </row>
    <row r="4" spans="1:3" x14ac:dyDescent="0.25">
      <c r="A4" s="21" t="s">
        <v>104</v>
      </c>
      <c r="B4" s="22">
        <v>102000</v>
      </c>
      <c r="C4" s="16">
        <v>0.11850819100731963</v>
      </c>
    </row>
    <row r="5" spans="1:3" x14ac:dyDescent="0.25">
      <c r="A5" s="21" t="s">
        <v>146</v>
      </c>
      <c r="B5" s="22">
        <v>650</v>
      </c>
      <c r="C5" s="16">
        <v>7.5519925641919373E-4</v>
      </c>
    </row>
    <row r="6" spans="1:3" x14ac:dyDescent="0.25">
      <c r="A6" s="21" t="s">
        <v>139</v>
      </c>
      <c r="B6" s="22">
        <v>45600</v>
      </c>
      <c r="C6" s="16">
        <v>5.2980132450331126E-2</v>
      </c>
    </row>
    <row r="7" spans="1:3" x14ac:dyDescent="0.25">
      <c r="A7" s="21" t="s">
        <v>100</v>
      </c>
      <c r="B7" s="22">
        <v>102000</v>
      </c>
      <c r="C7" s="16">
        <v>0.11850819100731963</v>
      </c>
    </row>
    <row r="8" spans="1:3" x14ac:dyDescent="0.25">
      <c r="A8" s="21" t="s">
        <v>128</v>
      </c>
      <c r="B8" s="22">
        <v>97800</v>
      </c>
      <c r="C8" s="16">
        <v>0.11362844196584175</v>
      </c>
    </row>
    <row r="9" spans="1:3" x14ac:dyDescent="0.25">
      <c r="A9" s="21" t="s">
        <v>125</v>
      </c>
      <c r="B9" s="22">
        <v>56000</v>
      </c>
      <c r="C9" s="16">
        <v>6.506332055303822E-2</v>
      </c>
    </row>
    <row r="10" spans="1:3" x14ac:dyDescent="0.25">
      <c r="A10" s="21" t="s">
        <v>117</v>
      </c>
      <c r="B10" s="22">
        <v>138000</v>
      </c>
      <c r="C10" s="16">
        <v>0.16033461136284419</v>
      </c>
    </row>
    <row r="11" spans="1:3" x14ac:dyDescent="0.25">
      <c r="A11" s="21" t="s">
        <v>135</v>
      </c>
      <c r="B11" s="22">
        <v>170850</v>
      </c>
      <c r="C11" s="16">
        <v>0.19850121993726036</v>
      </c>
    </row>
    <row r="12" spans="1:3" x14ac:dyDescent="0.25">
      <c r="A12" s="21" t="s">
        <v>107</v>
      </c>
      <c r="B12" s="22">
        <v>147800</v>
      </c>
      <c r="C12" s="16">
        <v>0.17172069245962587</v>
      </c>
    </row>
    <row r="13" spans="1:3" x14ac:dyDescent="0.25">
      <c r="A13" s="21" t="s">
        <v>159</v>
      </c>
      <c r="B13" s="22">
        <v>860700</v>
      </c>
      <c r="C13" s="16">
        <v>1</v>
      </c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8AF4A-1738-4FDC-BE96-9B684D0F2BFA}">
  <dimension ref="A1:R21"/>
  <sheetViews>
    <sheetView zoomScale="91" zoomScaleNormal="91" workbookViewId="0">
      <selection activeCell="A2" sqref="A2"/>
    </sheetView>
  </sheetViews>
  <sheetFormatPr defaultRowHeight="15" x14ac:dyDescent="0.25"/>
  <cols>
    <col min="1" max="1" width="13.85546875" bestFit="1" customWidth="1"/>
    <col min="2" max="2" width="17.42578125" customWidth="1"/>
    <col min="3" max="3" width="8.28515625" bestFit="1" customWidth="1"/>
    <col min="4" max="4" width="6.42578125" bestFit="1" customWidth="1"/>
    <col min="5" max="5" width="8.7109375" bestFit="1" customWidth="1"/>
    <col min="6" max="6" width="10.140625" bestFit="1" customWidth="1"/>
    <col min="10" max="10" width="13.85546875" customWidth="1"/>
    <col min="13" max="13" width="11.85546875" customWidth="1"/>
  </cols>
  <sheetData>
    <row r="1" spans="1:18" ht="45" x14ac:dyDescent="0.25">
      <c r="A1" s="5" t="s">
        <v>86</v>
      </c>
      <c r="B1" s="5" t="s">
        <v>2</v>
      </c>
      <c r="C1" s="5" t="s">
        <v>3</v>
      </c>
      <c r="D1" s="5" t="s">
        <v>87</v>
      </c>
      <c r="E1" s="5" t="s">
        <v>88</v>
      </c>
      <c r="F1" s="5" t="s">
        <v>4</v>
      </c>
      <c r="G1" s="5" t="s">
        <v>89</v>
      </c>
      <c r="H1" s="5" t="s">
        <v>90</v>
      </c>
      <c r="I1" s="5" t="s">
        <v>91</v>
      </c>
      <c r="J1" s="5" t="s">
        <v>92</v>
      </c>
      <c r="K1" s="5" t="s">
        <v>93</v>
      </c>
      <c r="L1" s="5" t="s">
        <v>94</v>
      </c>
      <c r="M1" s="5" t="s">
        <v>95</v>
      </c>
      <c r="N1" s="5" t="s">
        <v>96</v>
      </c>
    </row>
    <row r="2" spans="1:18" x14ac:dyDescent="0.25">
      <c r="A2" t="s">
        <v>97</v>
      </c>
      <c r="B2" s="1">
        <v>29251</v>
      </c>
      <c r="C2" t="s">
        <v>10</v>
      </c>
      <c r="D2">
        <v>3</v>
      </c>
      <c r="E2" t="s">
        <v>98</v>
      </c>
      <c r="F2" t="s">
        <v>99</v>
      </c>
      <c r="G2">
        <v>10.3</v>
      </c>
      <c r="H2" t="s">
        <v>100</v>
      </c>
      <c r="I2" t="s">
        <v>101</v>
      </c>
      <c r="J2">
        <v>5322000001</v>
      </c>
      <c r="K2">
        <v>7</v>
      </c>
      <c r="L2">
        <v>35000</v>
      </c>
      <c r="M2" t="s">
        <v>102</v>
      </c>
      <c r="N2">
        <v>78</v>
      </c>
    </row>
    <row r="3" spans="1:18" x14ac:dyDescent="0.25">
      <c r="A3" t="s">
        <v>103</v>
      </c>
      <c r="B3" s="1">
        <v>31074</v>
      </c>
      <c r="C3" t="s">
        <v>35</v>
      </c>
      <c r="D3">
        <v>5</v>
      </c>
      <c r="E3" t="s">
        <v>98</v>
      </c>
      <c r="F3" t="s">
        <v>36</v>
      </c>
      <c r="G3">
        <v>15.9</v>
      </c>
      <c r="H3" t="s">
        <v>104</v>
      </c>
      <c r="I3" t="s">
        <v>101</v>
      </c>
      <c r="J3">
        <v>5322000003</v>
      </c>
      <c r="K3">
        <v>0</v>
      </c>
      <c r="L3">
        <v>0</v>
      </c>
      <c r="N3">
        <v>93</v>
      </c>
    </row>
    <row r="4" spans="1:18" x14ac:dyDescent="0.25">
      <c r="A4" t="s">
        <v>105</v>
      </c>
      <c r="B4" s="1">
        <v>30117</v>
      </c>
      <c r="C4" t="s">
        <v>15</v>
      </c>
      <c r="D4">
        <v>4</v>
      </c>
      <c r="E4" t="s">
        <v>98</v>
      </c>
      <c r="F4" t="s">
        <v>106</v>
      </c>
      <c r="G4">
        <v>18</v>
      </c>
      <c r="H4" t="s">
        <v>107</v>
      </c>
      <c r="I4" t="s">
        <v>108</v>
      </c>
      <c r="J4">
        <v>5322000004</v>
      </c>
      <c r="K4">
        <v>9</v>
      </c>
      <c r="L4">
        <v>45000</v>
      </c>
      <c r="M4" t="s">
        <v>109</v>
      </c>
      <c r="N4">
        <v>67</v>
      </c>
      <c r="R4" t="s">
        <v>110</v>
      </c>
    </row>
    <row r="5" spans="1:18" x14ac:dyDescent="0.25">
      <c r="A5" t="s">
        <v>111</v>
      </c>
      <c r="B5" s="1">
        <v>34955</v>
      </c>
      <c r="C5" t="s">
        <v>10</v>
      </c>
      <c r="D5">
        <v>3</v>
      </c>
      <c r="E5" t="s">
        <v>112</v>
      </c>
      <c r="F5" t="s">
        <v>113</v>
      </c>
      <c r="G5">
        <v>7.12</v>
      </c>
      <c r="H5" t="s">
        <v>107</v>
      </c>
      <c r="I5" t="s">
        <v>108</v>
      </c>
      <c r="J5">
        <v>5322000005</v>
      </c>
      <c r="K5">
        <v>18</v>
      </c>
      <c r="L5">
        <v>95000</v>
      </c>
      <c r="M5" t="s">
        <v>109</v>
      </c>
      <c r="N5">
        <v>89</v>
      </c>
      <c r="R5" t="s">
        <v>114</v>
      </c>
    </row>
    <row r="6" spans="1:18" x14ac:dyDescent="0.25">
      <c r="A6" t="s">
        <v>115</v>
      </c>
      <c r="B6" s="1">
        <v>36091</v>
      </c>
      <c r="C6" t="s">
        <v>10</v>
      </c>
      <c r="D6">
        <v>1</v>
      </c>
      <c r="E6" t="s">
        <v>112</v>
      </c>
      <c r="F6" t="s">
        <v>116</v>
      </c>
      <c r="G6">
        <v>3.7</v>
      </c>
      <c r="H6" t="s">
        <v>117</v>
      </c>
      <c r="I6" t="s">
        <v>118</v>
      </c>
      <c r="J6">
        <v>5322000006</v>
      </c>
      <c r="K6">
        <v>2</v>
      </c>
      <c r="L6">
        <v>10000</v>
      </c>
      <c r="M6" t="s">
        <v>102</v>
      </c>
      <c r="N6">
        <v>72</v>
      </c>
      <c r="R6" t="s">
        <v>119</v>
      </c>
    </row>
    <row r="7" spans="1:18" x14ac:dyDescent="0.25">
      <c r="A7" t="s">
        <v>120</v>
      </c>
      <c r="B7" s="1">
        <v>31832</v>
      </c>
      <c r="C7" t="s">
        <v>15</v>
      </c>
      <c r="D7">
        <v>4</v>
      </c>
      <c r="E7" t="s">
        <v>112</v>
      </c>
      <c r="F7" t="s">
        <v>121</v>
      </c>
      <c r="G7">
        <v>19.52</v>
      </c>
      <c r="H7" t="s">
        <v>100</v>
      </c>
      <c r="I7" t="s">
        <v>101</v>
      </c>
      <c r="J7">
        <v>5322000007</v>
      </c>
      <c r="K7">
        <v>8</v>
      </c>
      <c r="L7">
        <v>67000</v>
      </c>
      <c r="M7" t="s">
        <v>122</v>
      </c>
      <c r="N7">
        <v>95</v>
      </c>
      <c r="R7" t="s">
        <v>123</v>
      </c>
    </row>
    <row r="8" spans="1:18" x14ac:dyDescent="0.25">
      <c r="A8" t="s">
        <v>124</v>
      </c>
      <c r="B8" s="1">
        <v>29753</v>
      </c>
      <c r="C8" t="s">
        <v>10</v>
      </c>
      <c r="D8">
        <v>4</v>
      </c>
      <c r="E8" t="s">
        <v>98</v>
      </c>
      <c r="F8" t="s">
        <v>42</v>
      </c>
      <c r="G8">
        <v>21.1</v>
      </c>
      <c r="H8" t="s">
        <v>125</v>
      </c>
      <c r="I8" t="s">
        <v>126</v>
      </c>
      <c r="J8">
        <v>5322000008</v>
      </c>
      <c r="K8">
        <v>7</v>
      </c>
      <c r="L8">
        <v>56000</v>
      </c>
      <c r="M8" t="s">
        <v>102</v>
      </c>
      <c r="N8">
        <v>62</v>
      </c>
    </row>
    <row r="9" spans="1:18" x14ac:dyDescent="0.25">
      <c r="A9" t="s">
        <v>127</v>
      </c>
      <c r="B9" s="1">
        <v>36359</v>
      </c>
      <c r="C9" t="s">
        <v>10</v>
      </c>
      <c r="D9">
        <v>1</v>
      </c>
      <c r="E9" t="s">
        <v>98</v>
      </c>
      <c r="F9" t="s">
        <v>11</v>
      </c>
      <c r="G9">
        <v>4.2</v>
      </c>
      <c r="H9" t="s">
        <v>128</v>
      </c>
      <c r="I9" t="s">
        <v>129</v>
      </c>
      <c r="J9">
        <v>5322000009</v>
      </c>
      <c r="K9">
        <v>9</v>
      </c>
      <c r="L9">
        <v>72800</v>
      </c>
      <c r="M9" t="s">
        <v>109</v>
      </c>
      <c r="N9">
        <v>91</v>
      </c>
    </row>
    <row r="10" spans="1:18" x14ac:dyDescent="0.25">
      <c r="A10" t="s">
        <v>130</v>
      </c>
      <c r="B10" s="1">
        <v>33142</v>
      </c>
      <c r="C10" t="s">
        <v>15</v>
      </c>
      <c r="D10">
        <v>3</v>
      </c>
      <c r="E10" t="s">
        <v>98</v>
      </c>
      <c r="F10" t="s">
        <v>16</v>
      </c>
      <c r="G10">
        <v>7.8</v>
      </c>
      <c r="H10" t="s">
        <v>128</v>
      </c>
      <c r="I10" t="s">
        <v>101</v>
      </c>
      <c r="J10">
        <v>5322000010</v>
      </c>
      <c r="K10">
        <v>2</v>
      </c>
      <c r="L10">
        <v>5000</v>
      </c>
      <c r="M10" t="s">
        <v>122</v>
      </c>
      <c r="N10">
        <v>87</v>
      </c>
    </row>
    <row r="11" spans="1:18" x14ac:dyDescent="0.25">
      <c r="A11" t="s">
        <v>131</v>
      </c>
      <c r="B11" s="1">
        <v>32428</v>
      </c>
      <c r="C11" t="s">
        <v>15</v>
      </c>
      <c r="D11">
        <v>4</v>
      </c>
      <c r="E11" t="s">
        <v>112</v>
      </c>
      <c r="F11" t="s">
        <v>20</v>
      </c>
      <c r="G11">
        <v>17.54</v>
      </c>
      <c r="H11" t="s">
        <v>117</v>
      </c>
      <c r="I11" t="s">
        <v>132</v>
      </c>
      <c r="J11">
        <v>5322000011</v>
      </c>
      <c r="K11">
        <v>5</v>
      </c>
      <c r="L11">
        <v>50000</v>
      </c>
      <c r="M11" t="s">
        <v>102</v>
      </c>
      <c r="N11">
        <v>98</v>
      </c>
    </row>
    <row r="12" spans="1:18" x14ac:dyDescent="0.25">
      <c r="A12" t="s">
        <v>133</v>
      </c>
      <c r="B12" s="1">
        <v>33572</v>
      </c>
      <c r="C12" t="s">
        <v>10</v>
      </c>
      <c r="D12">
        <v>3</v>
      </c>
      <c r="E12" t="s">
        <v>112</v>
      </c>
      <c r="F12" t="s">
        <v>24</v>
      </c>
      <c r="G12">
        <v>3.6</v>
      </c>
      <c r="H12" t="s">
        <v>128</v>
      </c>
      <c r="I12" t="s">
        <v>129</v>
      </c>
      <c r="J12">
        <v>5322000012</v>
      </c>
      <c r="K12">
        <v>2</v>
      </c>
      <c r="L12">
        <v>20000</v>
      </c>
      <c r="M12" t="s">
        <v>109</v>
      </c>
      <c r="N12">
        <v>82</v>
      </c>
    </row>
    <row r="13" spans="1:18" x14ac:dyDescent="0.25">
      <c r="A13" t="s">
        <v>134</v>
      </c>
      <c r="B13" s="1">
        <v>36639</v>
      </c>
      <c r="C13" t="s">
        <v>10</v>
      </c>
      <c r="D13">
        <v>2</v>
      </c>
      <c r="E13" t="s">
        <v>112</v>
      </c>
      <c r="F13" t="s">
        <v>28</v>
      </c>
      <c r="G13">
        <v>1.98</v>
      </c>
      <c r="H13" t="s">
        <v>135</v>
      </c>
      <c r="I13" t="s">
        <v>101</v>
      </c>
      <c r="J13">
        <v>5322000013</v>
      </c>
      <c r="K13">
        <v>1</v>
      </c>
      <c r="L13">
        <v>60500</v>
      </c>
      <c r="M13" t="s">
        <v>109</v>
      </c>
      <c r="N13">
        <v>76</v>
      </c>
    </row>
    <row r="14" spans="1:18" x14ac:dyDescent="0.25">
      <c r="A14" t="s">
        <v>136</v>
      </c>
      <c r="B14" s="1">
        <v>28713</v>
      </c>
      <c r="C14" t="s">
        <v>35</v>
      </c>
      <c r="D14">
        <v>4</v>
      </c>
      <c r="E14" t="s">
        <v>112</v>
      </c>
      <c r="F14" t="s">
        <v>36</v>
      </c>
      <c r="G14">
        <v>21.75</v>
      </c>
      <c r="H14" t="s">
        <v>128</v>
      </c>
      <c r="I14" t="s">
        <v>101</v>
      </c>
      <c r="J14">
        <v>5322000015</v>
      </c>
      <c r="K14">
        <v>0</v>
      </c>
      <c r="L14">
        <v>0</v>
      </c>
      <c r="N14">
        <v>87</v>
      </c>
    </row>
    <row r="15" spans="1:18" x14ac:dyDescent="0.25">
      <c r="A15" t="s">
        <v>137</v>
      </c>
      <c r="B15" s="1">
        <v>33568</v>
      </c>
      <c r="C15" t="s">
        <v>15</v>
      </c>
      <c r="D15">
        <v>4</v>
      </c>
      <c r="E15" t="s">
        <v>112</v>
      </c>
      <c r="F15" t="s">
        <v>39</v>
      </c>
      <c r="G15">
        <v>10.6</v>
      </c>
      <c r="H15" t="s">
        <v>135</v>
      </c>
      <c r="I15" t="s">
        <v>126</v>
      </c>
      <c r="J15">
        <v>5322000016</v>
      </c>
      <c r="K15">
        <v>9</v>
      </c>
      <c r="L15">
        <v>54300</v>
      </c>
      <c r="M15" t="s">
        <v>102</v>
      </c>
      <c r="N15">
        <v>77</v>
      </c>
    </row>
    <row r="16" spans="1:18" x14ac:dyDescent="0.25">
      <c r="A16" t="s">
        <v>138</v>
      </c>
      <c r="B16" s="1">
        <v>36797</v>
      </c>
      <c r="C16" t="s">
        <v>10</v>
      </c>
      <c r="D16">
        <v>2</v>
      </c>
      <c r="E16" t="s">
        <v>98</v>
      </c>
      <c r="F16" t="s">
        <v>42</v>
      </c>
      <c r="G16">
        <v>3</v>
      </c>
      <c r="H16" t="s">
        <v>139</v>
      </c>
      <c r="I16" t="s">
        <v>126</v>
      </c>
      <c r="J16">
        <v>5322000017</v>
      </c>
      <c r="K16">
        <v>7</v>
      </c>
      <c r="L16">
        <v>45600</v>
      </c>
      <c r="M16" t="s">
        <v>122</v>
      </c>
      <c r="N16">
        <v>65</v>
      </c>
    </row>
    <row r="17" spans="1:14" x14ac:dyDescent="0.25">
      <c r="A17" t="s">
        <v>140</v>
      </c>
      <c r="B17" s="1">
        <v>30455</v>
      </c>
      <c r="C17" t="s">
        <v>15</v>
      </c>
      <c r="D17">
        <v>4</v>
      </c>
      <c r="E17" t="s">
        <v>112</v>
      </c>
      <c r="F17" t="s">
        <v>45</v>
      </c>
      <c r="G17">
        <v>9.8000000000000007</v>
      </c>
      <c r="H17" t="s">
        <v>107</v>
      </c>
      <c r="I17" t="s">
        <v>108</v>
      </c>
      <c r="J17">
        <v>5322000018</v>
      </c>
      <c r="K17">
        <v>2</v>
      </c>
      <c r="L17">
        <v>7800</v>
      </c>
      <c r="M17" t="s">
        <v>122</v>
      </c>
      <c r="N17">
        <v>69</v>
      </c>
    </row>
    <row r="18" spans="1:14" x14ac:dyDescent="0.25">
      <c r="A18" t="s">
        <v>141</v>
      </c>
      <c r="B18" s="1">
        <v>36004</v>
      </c>
      <c r="C18" t="s">
        <v>10</v>
      </c>
      <c r="D18">
        <v>3</v>
      </c>
      <c r="E18" t="s">
        <v>112</v>
      </c>
      <c r="F18" t="s">
        <v>48</v>
      </c>
      <c r="G18">
        <v>8.9</v>
      </c>
      <c r="H18" t="s">
        <v>117</v>
      </c>
      <c r="I18" t="s">
        <v>132</v>
      </c>
      <c r="J18">
        <v>5322000019</v>
      </c>
      <c r="K18">
        <v>6</v>
      </c>
      <c r="L18">
        <v>78000</v>
      </c>
      <c r="M18" t="s">
        <v>109</v>
      </c>
      <c r="N18">
        <v>84</v>
      </c>
    </row>
    <row r="19" spans="1:14" x14ac:dyDescent="0.25">
      <c r="A19" t="s">
        <v>142</v>
      </c>
      <c r="B19" s="1">
        <v>31471</v>
      </c>
      <c r="C19" t="s">
        <v>15</v>
      </c>
      <c r="D19">
        <v>4</v>
      </c>
      <c r="E19" t="s">
        <v>98</v>
      </c>
      <c r="F19" t="s">
        <v>143</v>
      </c>
      <c r="G19">
        <v>17.3</v>
      </c>
      <c r="H19" t="s">
        <v>104</v>
      </c>
      <c r="I19" t="s">
        <v>126</v>
      </c>
      <c r="J19">
        <v>5322000020</v>
      </c>
      <c r="K19">
        <v>9</v>
      </c>
      <c r="L19">
        <v>102000</v>
      </c>
      <c r="M19" t="s">
        <v>102</v>
      </c>
      <c r="N19">
        <v>97</v>
      </c>
    </row>
    <row r="20" spans="1:14" x14ac:dyDescent="0.25">
      <c r="A20" t="s">
        <v>144</v>
      </c>
      <c r="B20" s="1">
        <v>34072</v>
      </c>
      <c r="C20" t="s">
        <v>10</v>
      </c>
      <c r="D20">
        <v>3</v>
      </c>
      <c r="E20" t="s">
        <v>98</v>
      </c>
      <c r="F20" t="s">
        <v>145</v>
      </c>
      <c r="G20">
        <v>7.4</v>
      </c>
      <c r="H20" t="s">
        <v>146</v>
      </c>
      <c r="I20" t="s">
        <v>126</v>
      </c>
      <c r="J20">
        <v>5322000021</v>
      </c>
      <c r="K20">
        <v>1</v>
      </c>
      <c r="L20">
        <v>650</v>
      </c>
      <c r="M20" t="s">
        <v>122</v>
      </c>
      <c r="N20">
        <v>57</v>
      </c>
    </row>
    <row r="21" spans="1:14" x14ac:dyDescent="0.25">
      <c r="A21" t="s">
        <v>147</v>
      </c>
      <c r="B21" s="1">
        <v>36271</v>
      </c>
      <c r="C21" t="s">
        <v>10</v>
      </c>
      <c r="D21">
        <v>2</v>
      </c>
      <c r="E21" t="s">
        <v>112</v>
      </c>
      <c r="F21" t="s">
        <v>39</v>
      </c>
      <c r="G21">
        <v>3.7</v>
      </c>
      <c r="H21" t="s">
        <v>135</v>
      </c>
      <c r="I21" t="s">
        <v>126</v>
      </c>
      <c r="J21">
        <v>5322000022</v>
      </c>
      <c r="K21">
        <v>4</v>
      </c>
      <c r="L21">
        <v>56050</v>
      </c>
      <c r="M21" t="s">
        <v>109</v>
      </c>
      <c r="N21">
        <v>88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E98A5C-13A7-4963-BCE9-F65B9EC0D403}">
  <dimension ref="A1:L15"/>
  <sheetViews>
    <sheetView workbookViewId="0">
      <selection activeCell="J20" sqref="J20"/>
    </sheetView>
  </sheetViews>
  <sheetFormatPr defaultRowHeight="15" x14ac:dyDescent="0.25"/>
  <cols>
    <col min="1" max="1" width="13.5703125" customWidth="1"/>
    <col min="2" max="2" width="14.5703125" customWidth="1"/>
    <col min="10" max="10" width="11" bestFit="1" customWidth="1"/>
  </cols>
  <sheetData>
    <row r="1" spans="1:12" ht="30" x14ac:dyDescent="0.25">
      <c r="A1" s="5" t="s">
        <v>92</v>
      </c>
      <c r="B1" s="5" t="s">
        <v>86</v>
      </c>
      <c r="C1" s="5" t="s">
        <v>3</v>
      </c>
      <c r="D1" s="5" t="s">
        <v>4</v>
      </c>
      <c r="E1" s="5" t="s">
        <v>89</v>
      </c>
      <c r="F1" s="5" t="s">
        <v>90</v>
      </c>
      <c r="J1" s="5" t="s">
        <v>92</v>
      </c>
      <c r="K1" s="5" t="s">
        <v>4</v>
      </c>
      <c r="L1" s="5" t="s">
        <v>89</v>
      </c>
    </row>
    <row r="2" spans="1:12" x14ac:dyDescent="0.25">
      <c r="A2">
        <v>5322000001</v>
      </c>
      <c r="B2" t="s">
        <v>97</v>
      </c>
      <c r="C2" t="s">
        <v>10</v>
      </c>
      <c r="D2" t="s">
        <v>99</v>
      </c>
      <c r="E2">
        <v>10.3</v>
      </c>
      <c r="F2" t="s">
        <v>100</v>
      </c>
      <c r="J2">
        <v>5322000001</v>
      </c>
      <c r="K2" t="str">
        <f>VLOOKUP(J2, A:F,  4, 0)</f>
        <v>Balıkesir</v>
      </c>
      <c r="L2">
        <f>VLOOKUP(J2, A:F, 5, 0)</f>
        <v>10.3</v>
      </c>
    </row>
    <row r="3" spans="1:12" x14ac:dyDescent="0.25">
      <c r="A3">
        <v>5322000002</v>
      </c>
      <c r="B3" t="s">
        <v>148</v>
      </c>
      <c r="C3" t="s">
        <v>10</v>
      </c>
      <c r="D3" t="s">
        <v>31</v>
      </c>
      <c r="E3">
        <v>8.6999999999999993</v>
      </c>
      <c r="F3" t="s">
        <v>139</v>
      </c>
      <c r="J3">
        <v>5322000002</v>
      </c>
      <c r="K3" t="str">
        <f t="shared" ref="K3:K12" si="0">VLOOKUP(J3, A:F,  4, 0)</f>
        <v>İzmir</v>
      </c>
      <c r="L3">
        <f t="shared" ref="L3:L12" si="1">VLOOKUP(J3, A:F, 5, 0)</f>
        <v>8.6999999999999993</v>
      </c>
    </row>
    <row r="4" spans="1:12" x14ac:dyDescent="0.25">
      <c r="A4">
        <v>5322000003</v>
      </c>
      <c r="B4" t="s">
        <v>103</v>
      </c>
      <c r="C4" t="s">
        <v>35</v>
      </c>
      <c r="D4" t="s">
        <v>36</v>
      </c>
      <c r="E4">
        <v>15.9</v>
      </c>
      <c r="F4" t="s">
        <v>104</v>
      </c>
      <c r="J4">
        <v>5322000003</v>
      </c>
      <c r="K4" t="str">
        <f t="shared" si="0"/>
        <v>İstanbul</v>
      </c>
      <c r="L4">
        <f t="shared" si="1"/>
        <v>15.9</v>
      </c>
    </row>
    <row r="5" spans="1:12" x14ac:dyDescent="0.25">
      <c r="A5">
        <v>5322000004</v>
      </c>
      <c r="B5" t="s">
        <v>105</v>
      </c>
      <c r="C5" t="s">
        <v>15</v>
      </c>
      <c r="D5" t="s">
        <v>106</v>
      </c>
      <c r="E5">
        <v>18</v>
      </c>
      <c r="F5" t="s">
        <v>107</v>
      </c>
      <c r="J5">
        <v>5322000004</v>
      </c>
      <c r="K5" t="str">
        <f t="shared" si="0"/>
        <v>Muğla</v>
      </c>
      <c r="L5">
        <f t="shared" si="1"/>
        <v>18</v>
      </c>
    </row>
    <row r="6" spans="1:12" x14ac:dyDescent="0.25">
      <c r="A6">
        <v>5322000005</v>
      </c>
      <c r="B6" t="s">
        <v>111</v>
      </c>
      <c r="C6" t="s">
        <v>10</v>
      </c>
      <c r="D6" t="s">
        <v>113</v>
      </c>
      <c r="E6">
        <v>7.12</v>
      </c>
      <c r="F6" t="s">
        <v>107</v>
      </c>
      <c r="J6">
        <v>5322000005</v>
      </c>
      <c r="K6" t="str">
        <f t="shared" si="0"/>
        <v>Adana</v>
      </c>
      <c r="L6">
        <f t="shared" si="1"/>
        <v>7.12</v>
      </c>
    </row>
    <row r="7" spans="1:12" x14ac:dyDescent="0.25">
      <c r="A7">
        <v>5322000006</v>
      </c>
      <c r="B7" t="s">
        <v>115</v>
      </c>
      <c r="C7" t="s">
        <v>10</v>
      </c>
      <c r="D7" t="s">
        <v>116</v>
      </c>
      <c r="E7">
        <v>3.7</v>
      </c>
      <c r="F7" t="s">
        <v>117</v>
      </c>
      <c r="J7">
        <v>5322000006</v>
      </c>
      <c r="K7" t="str">
        <f t="shared" si="0"/>
        <v>Van</v>
      </c>
      <c r="L7">
        <f t="shared" si="1"/>
        <v>3.7</v>
      </c>
    </row>
    <row r="8" spans="1:12" x14ac:dyDescent="0.25">
      <c r="A8">
        <v>5322000007</v>
      </c>
      <c r="B8" t="s">
        <v>120</v>
      </c>
      <c r="C8" t="s">
        <v>15</v>
      </c>
      <c r="D8" t="s">
        <v>121</v>
      </c>
      <c r="E8">
        <v>19.52</v>
      </c>
      <c r="F8" t="s">
        <v>100</v>
      </c>
      <c r="J8">
        <v>5322000007</v>
      </c>
      <c r="K8" t="str">
        <f t="shared" si="0"/>
        <v>Kocaeli</v>
      </c>
      <c r="L8">
        <f t="shared" si="1"/>
        <v>19.52</v>
      </c>
    </row>
    <row r="9" spans="1:12" x14ac:dyDescent="0.25">
      <c r="A9">
        <v>5322000008</v>
      </c>
      <c r="B9" t="s">
        <v>124</v>
      </c>
      <c r="C9" t="s">
        <v>10</v>
      </c>
      <c r="D9" t="s">
        <v>42</v>
      </c>
      <c r="E9">
        <v>21.1</v>
      </c>
      <c r="F9" t="s">
        <v>125</v>
      </c>
      <c r="J9">
        <v>5322000008</v>
      </c>
      <c r="K9" t="str">
        <f t="shared" si="0"/>
        <v>Ankara</v>
      </c>
      <c r="L9">
        <f t="shared" si="1"/>
        <v>21.1</v>
      </c>
    </row>
    <row r="10" spans="1:12" x14ac:dyDescent="0.25">
      <c r="A10">
        <v>5322000009</v>
      </c>
      <c r="B10" t="s">
        <v>127</v>
      </c>
      <c r="C10" t="s">
        <v>10</v>
      </c>
      <c r="D10" t="s">
        <v>11</v>
      </c>
      <c r="E10">
        <v>4.2</v>
      </c>
      <c r="F10" t="s">
        <v>128</v>
      </c>
      <c r="J10">
        <v>5322000009</v>
      </c>
      <c r="K10" t="str">
        <f t="shared" si="0"/>
        <v>Trabzon</v>
      </c>
      <c r="L10">
        <f t="shared" si="1"/>
        <v>4.2</v>
      </c>
    </row>
    <row r="11" spans="1:12" x14ac:dyDescent="0.25">
      <c r="A11">
        <v>5322000010</v>
      </c>
      <c r="B11" t="s">
        <v>130</v>
      </c>
      <c r="C11" t="s">
        <v>15</v>
      </c>
      <c r="D11" t="s">
        <v>16</v>
      </c>
      <c r="E11">
        <v>7.8</v>
      </c>
      <c r="F11" t="s">
        <v>128</v>
      </c>
      <c r="J11">
        <v>5322000010</v>
      </c>
      <c r="K11" t="str">
        <f t="shared" si="0"/>
        <v>Bursa</v>
      </c>
      <c r="L11">
        <f t="shared" si="1"/>
        <v>7.8</v>
      </c>
    </row>
    <row r="12" spans="1:12" x14ac:dyDescent="0.25">
      <c r="A12">
        <v>5322000011</v>
      </c>
      <c r="B12" t="s">
        <v>131</v>
      </c>
      <c r="C12" t="s">
        <v>15</v>
      </c>
      <c r="D12" t="s">
        <v>20</v>
      </c>
      <c r="E12">
        <v>17.54</v>
      </c>
      <c r="F12" t="s">
        <v>117</v>
      </c>
      <c r="J12">
        <v>5322000011</v>
      </c>
      <c r="K12" t="str">
        <f t="shared" si="0"/>
        <v>Gaziantep</v>
      </c>
      <c r="L12">
        <f t="shared" si="1"/>
        <v>17.54</v>
      </c>
    </row>
    <row r="15" spans="1:12" x14ac:dyDescent="0.25">
      <c r="K15" t="s">
        <v>149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23C47E-D363-4003-AFBD-EC034B3C286F}">
  <dimension ref="A1:R17"/>
  <sheetViews>
    <sheetView tabSelected="1" topLeftCell="D1" zoomScale="89" zoomScaleNormal="89" workbookViewId="0">
      <selection activeCell="Q25" sqref="Q25"/>
    </sheetView>
  </sheetViews>
  <sheetFormatPr defaultRowHeight="15" x14ac:dyDescent="0.25"/>
  <cols>
    <col min="1" max="1" width="12.42578125" customWidth="1"/>
    <col min="9" max="9" width="16.140625" customWidth="1"/>
    <col min="12" max="12" width="12.140625" bestFit="1" customWidth="1"/>
    <col min="17" max="17" width="34.7109375" customWidth="1"/>
    <col min="18" max="18" width="10.140625" bestFit="1" customWidth="1"/>
  </cols>
  <sheetData>
    <row r="1" spans="1:18" ht="45" x14ac:dyDescent="0.25">
      <c r="A1" s="5" t="s">
        <v>2</v>
      </c>
      <c r="B1" s="5" t="s">
        <v>3</v>
      </c>
      <c r="C1" s="5" t="s">
        <v>87</v>
      </c>
      <c r="D1" s="5" t="s">
        <v>88</v>
      </c>
      <c r="E1" s="5" t="s">
        <v>4</v>
      </c>
      <c r="F1" s="5" t="s">
        <v>89</v>
      </c>
      <c r="G1" s="5" t="s">
        <v>90</v>
      </c>
      <c r="H1" s="5" t="s">
        <v>91</v>
      </c>
      <c r="I1" s="5" t="s">
        <v>92</v>
      </c>
      <c r="J1" s="5" t="s">
        <v>72</v>
      </c>
      <c r="K1" s="5" t="s">
        <v>93</v>
      </c>
      <c r="L1" s="5" t="s">
        <v>94</v>
      </c>
      <c r="M1" s="5" t="s">
        <v>95</v>
      </c>
      <c r="N1" s="5" t="s">
        <v>96</v>
      </c>
      <c r="O1" s="24" t="s">
        <v>162</v>
      </c>
    </row>
    <row r="2" spans="1:18" x14ac:dyDescent="0.25">
      <c r="A2" s="1">
        <v>29251</v>
      </c>
      <c r="B2" t="s">
        <v>10</v>
      </c>
      <c r="C2">
        <v>3</v>
      </c>
      <c r="D2" t="s">
        <v>98</v>
      </c>
      <c r="E2" t="s">
        <v>99</v>
      </c>
      <c r="F2">
        <v>10.3</v>
      </c>
      <c r="G2" t="s">
        <v>100</v>
      </c>
      <c r="H2" t="s">
        <v>101</v>
      </c>
      <c r="I2">
        <v>5322000001</v>
      </c>
      <c r="J2">
        <v>50000</v>
      </c>
      <c r="K2">
        <v>7</v>
      </c>
      <c r="L2" s="23">
        <v>35000</v>
      </c>
      <c r="M2" t="s">
        <v>102</v>
      </c>
      <c r="N2">
        <v>70</v>
      </c>
      <c r="O2" s="14" t="str">
        <f>IF(N2&gt;=70, "Geçti", "Kaldı")</f>
        <v>Geçti</v>
      </c>
    </row>
    <row r="3" spans="1:18" x14ac:dyDescent="0.25">
      <c r="A3" s="1">
        <v>32954</v>
      </c>
      <c r="B3" t="s">
        <v>10</v>
      </c>
      <c r="C3">
        <v>2</v>
      </c>
      <c r="D3" t="s">
        <v>112</v>
      </c>
      <c r="E3" t="s">
        <v>31</v>
      </c>
      <c r="F3">
        <v>8.6999999999999993</v>
      </c>
      <c r="G3" t="s">
        <v>139</v>
      </c>
      <c r="H3" t="s">
        <v>150</v>
      </c>
      <c r="I3">
        <v>5322000002</v>
      </c>
      <c r="J3">
        <v>70000</v>
      </c>
      <c r="K3">
        <v>12</v>
      </c>
      <c r="L3" s="23">
        <f>K3*40000</f>
        <v>480000</v>
      </c>
      <c r="M3" t="s">
        <v>122</v>
      </c>
      <c r="N3">
        <v>91</v>
      </c>
      <c r="O3" s="14" t="str">
        <f t="shared" ref="O3:O12" si="0">IF(N3&gt;=70, "Geçti", "Kaldı")</f>
        <v>Geçti</v>
      </c>
    </row>
    <row r="4" spans="1:18" x14ac:dyDescent="0.25">
      <c r="A4" s="1">
        <v>31074</v>
      </c>
      <c r="B4" t="s">
        <v>35</v>
      </c>
      <c r="C4">
        <v>5</v>
      </c>
      <c r="D4" t="s">
        <v>98</v>
      </c>
      <c r="E4" t="s">
        <v>36</v>
      </c>
      <c r="F4">
        <v>15.9</v>
      </c>
      <c r="G4" t="s">
        <v>104</v>
      </c>
      <c r="H4" t="s">
        <v>101</v>
      </c>
      <c r="I4">
        <v>5322000003</v>
      </c>
      <c r="J4">
        <v>120000</v>
      </c>
      <c r="K4">
        <v>0</v>
      </c>
      <c r="L4" s="23">
        <v>0</v>
      </c>
      <c r="N4">
        <v>93</v>
      </c>
      <c r="O4" s="14" t="str">
        <f t="shared" si="0"/>
        <v>Geçti</v>
      </c>
    </row>
    <row r="5" spans="1:18" x14ac:dyDescent="0.25">
      <c r="A5" s="1">
        <v>30117</v>
      </c>
      <c r="B5" t="s">
        <v>15</v>
      </c>
      <c r="C5">
        <v>4</v>
      </c>
      <c r="D5" t="s">
        <v>98</v>
      </c>
      <c r="E5" t="s">
        <v>106</v>
      </c>
      <c r="F5">
        <v>18</v>
      </c>
      <c r="G5" t="s">
        <v>107</v>
      </c>
      <c r="H5" t="s">
        <v>108</v>
      </c>
      <c r="I5">
        <v>5322000004</v>
      </c>
      <c r="J5">
        <v>40000</v>
      </c>
      <c r="K5">
        <v>9</v>
      </c>
      <c r="L5" s="23">
        <v>45000</v>
      </c>
      <c r="M5" t="s">
        <v>109</v>
      </c>
      <c r="N5">
        <v>67</v>
      </c>
      <c r="O5" s="14" t="str">
        <f t="shared" si="0"/>
        <v>Kaldı</v>
      </c>
    </row>
    <row r="6" spans="1:18" x14ac:dyDescent="0.25">
      <c r="A6" s="1">
        <v>34955</v>
      </c>
      <c r="B6" t="s">
        <v>10</v>
      </c>
      <c r="C6">
        <v>3</v>
      </c>
      <c r="D6" t="s">
        <v>112</v>
      </c>
      <c r="E6" t="s">
        <v>113</v>
      </c>
      <c r="F6">
        <v>7.12</v>
      </c>
      <c r="G6" t="s">
        <v>107</v>
      </c>
      <c r="H6" t="s">
        <v>108</v>
      </c>
      <c r="I6">
        <v>5322000005</v>
      </c>
      <c r="J6">
        <v>55000</v>
      </c>
      <c r="K6">
        <v>18</v>
      </c>
      <c r="L6" s="23">
        <v>95000</v>
      </c>
      <c r="M6" t="s">
        <v>109</v>
      </c>
      <c r="N6">
        <v>89</v>
      </c>
      <c r="O6" s="14" t="str">
        <f t="shared" si="0"/>
        <v>Geçti</v>
      </c>
    </row>
    <row r="7" spans="1:18" x14ac:dyDescent="0.25">
      <c r="A7" s="1">
        <v>36091</v>
      </c>
      <c r="B7" t="s">
        <v>10</v>
      </c>
      <c r="C7">
        <v>1</v>
      </c>
      <c r="D7" t="s">
        <v>112</v>
      </c>
      <c r="E7" t="s">
        <v>116</v>
      </c>
      <c r="F7">
        <v>3.7</v>
      </c>
      <c r="G7" t="s">
        <v>117</v>
      </c>
      <c r="H7" t="s">
        <v>118</v>
      </c>
      <c r="I7">
        <v>5322000006</v>
      </c>
      <c r="J7">
        <v>35000</v>
      </c>
      <c r="K7">
        <v>2</v>
      </c>
      <c r="L7" s="23">
        <v>10000</v>
      </c>
      <c r="M7" t="s">
        <v>102</v>
      </c>
      <c r="N7">
        <v>72</v>
      </c>
      <c r="O7" s="14" t="str">
        <f t="shared" si="0"/>
        <v>Geçti</v>
      </c>
    </row>
    <row r="8" spans="1:18" x14ac:dyDescent="0.25">
      <c r="A8" s="1">
        <v>31832</v>
      </c>
      <c r="B8" t="s">
        <v>15</v>
      </c>
      <c r="C8">
        <v>4</v>
      </c>
      <c r="D8" t="s">
        <v>112</v>
      </c>
      <c r="E8" t="s">
        <v>121</v>
      </c>
      <c r="F8">
        <v>19.52</v>
      </c>
      <c r="G8" t="s">
        <v>100</v>
      </c>
      <c r="H8" t="s">
        <v>101</v>
      </c>
      <c r="I8">
        <v>5322000007</v>
      </c>
      <c r="J8">
        <v>95000</v>
      </c>
      <c r="K8">
        <v>8</v>
      </c>
      <c r="L8" s="23">
        <v>67000</v>
      </c>
      <c r="M8" t="s">
        <v>122</v>
      </c>
      <c r="N8">
        <v>95</v>
      </c>
      <c r="O8" s="14" t="str">
        <f t="shared" si="0"/>
        <v>Geçti</v>
      </c>
    </row>
    <row r="9" spans="1:18" x14ac:dyDescent="0.25">
      <c r="A9" s="1">
        <v>29753</v>
      </c>
      <c r="B9" t="s">
        <v>10</v>
      </c>
      <c r="C9">
        <v>4</v>
      </c>
      <c r="D9" t="s">
        <v>98</v>
      </c>
      <c r="E9" t="s">
        <v>42</v>
      </c>
      <c r="F9">
        <v>21.1</v>
      </c>
      <c r="G9" t="s">
        <v>125</v>
      </c>
      <c r="H9" t="s">
        <v>126</v>
      </c>
      <c r="I9">
        <v>5322000008</v>
      </c>
      <c r="J9">
        <v>90000</v>
      </c>
      <c r="K9">
        <v>7</v>
      </c>
      <c r="L9" s="23">
        <v>56000</v>
      </c>
      <c r="M9" t="s">
        <v>102</v>
      </c>
      <c r="N9">
        <v>62</v>
      </c>
      <c r="O9" s="14" t="str">
        <f t="shared" si="0"/>
        <v>Kaldı</v>
      </c>
    </row>
    <row r="10" spans="1:18" x14ac:dyDescent="0.25">
      <c r="A10" s="1">
        <v>36359</v>
      </c>
      <c r="B10" t="s">
        <v>10</v>
      </c>
      <c r="C10">
        <v>1</v>
      </c>
      <c r="D10" t="s">
        <v>98</v>
      </c>
      <c r="E10" t="s">
        <v>11</v>
      </c>
      <c r="F10">
        <v>4.2</v>
      </c>
      <c r="G10" t="s">
        <v>128</v>
      </c>
      <c r="H10" t="s">
        <v>129</v>
      </c>
      <c r="I10">
        <v>5322000009</v>
      </c>
      <c r="J10">
        <v>60000</v>
      </c>
      <c r="K10">
        <v>9</v>
      </c>
      <c r="L10" s="23">
        <v>72800</v>
      </c>
      <c r="M10" t="s">
        <v>109</v>
      </c>
      <c r="N10">
        <v>91</v>
      </c>
      <c r="O10" s="14" t="str">
        <f t="shared" si="0"/>
        <v>Geçti</v>
      </c>
    </row>
    <row r="11" spans="1:18" x14ac:dyDescent="0.25">
      <c r="A11" s="1">
        <v>33142</v>
      </c>
      <c r="B11" t="s">
        <v>15</v>
      </c>
      <c r="C11">
        <v>3</v>
      </c>
      <c r="D11" t="s">
        <v>98</v>
      </c>
      <c r="E11" t="s">
        <v>16</v>
      </c>
      <c r="F11">
        <v>7.8</v>
      </c>
      <c r="G11" t="s">
        <v>128</v>
      </c>
      <c r="H11" t="s">
        <v>101</v>
      </c>
      <c r="I11">
        <v>5322000010</v>
      </c>
      <c r="J11">
        <v>85000</v>
      </c>
      <c r="K11">
        <v>2</v>
      </c>
      <c r="L11" s="23">
        <v>5000</v>
      </c>
      <c r="M11" t="s">
        <v>122</v>
      </c>
      <c r="N11">
        <v>87</v>
      </c>
      <c r="O11" s="14" t="str">
        <f t="shared" si="0"/>
        <v>Geçti</v>
      </c>
    </row>
    <row r="12" spans="1:18" ht="15.75" thickBot="1" x14ac:dyDescent="0.3">
      <c r="A12" s="1">
        <v>32428</v>
      </c>
      <c r="B12" t="s">
        <v>15</v>
      </c>
      <c r="C12">
        <v>4</v>
      </c>
      <c r="D12" t="s">
        <v>112</v>
      </c>
      <c r="E12" t="s">
        <v>20</v>
      </c>
      <c r="F12">
        <v>17.54</v>
      </c>
      <c r="G12" t="s">
        <v>117</v>
      </c>
      <c r="H12" t="s">
        <v>132</v>
      </c>
      <c r="I12">
        <v>5322000011</v>
      </c>
      <c r="J12">
        <v>90000</v>
      </c>
      <c r="K12">
        <v>5</v>
      </c>
      <c r="L12" s="23">
        <v>50000</v>
      </c>
      <c r="M12" t="s">
        <v>102</v>
      </c>
      <c r="N12">
        <v>98</v>
      </c>
      <c r="O12" s="14" t="str">
        <f t="shared" si="0"/>
        <v>Geçti</v>
      </c>
    </row>
    <row r="13" spans="1:18" ht="45.75" thickBot="1" x14ac:dyDescent="0.3">
      <c r="Q13" s="8" t="s">
        <v>151</v>
      </c>
    </row>
    <row r="14" spans="1:18" ht="45.75" thickBot="1" x14ac:dyDescent="0.3">
      <c r="Q14" s="25" t="s">
        <v>152</v>
      </c>
      <c r="R14" s="26">
        <f>SUMIF(G2:G12, "Satış", L2:L12)</f>
        <v>140000</v>
      </c>
    </row>
    <row r="15" spans="1:18" ht="30.75" thickBot="1" x14ac:dyDescent="0.3">
      <c r="Q15" s="25" t="s">
        <v>153</v>
      </c>
      <c r="R15" s="26">
        <f>COUNTIF(D2:D12, "Kadın")</f>
        <v>6</v>
      </c>
    </row>
    <row r="16" spans="1:18" ht="45.75" thickBot="1" x14ac:dyDescent="0.3">
      <c r="Q16" s="25" t="s">
        <v>154</v>
      </c>
      <c r="R16" s="26">
        <f>LARGE(K2:K12, 2)</f>
        <v>12</v>
      </c>
    </row>
    <row r="17" spans="17:18" ht="45.75" thickBot="1" x14ac:dyDescent="0.3">
      <c r="Q17" s="25" t="s">
        <v>155</v>
      </c>
      <c r="R17" s="26">
        <f>SMALL(N2:N12, 2)</f>
        <v>67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7</vt:i4>
      </vt:variant>
    </vt:vector>
  </HeadingPairs>
  <TitlesOfParts>
    <vt:vector size="7" baseType="lpstr">
      <vt:lpstr>Tablo Veri Düzenleme</vt:lpstr>
      <vt:lpstr>Metin Düzenleme</vt:lpstr>
      <vt:lpstr>Rutin Hesaplamalar</vt:lpstr>
      <vt:lpstr>Pivot&amp;Grafik Sunumu</vt:lpstr>
      <vt:lpstr>Pivot&amp;Grafik</vt:lpstr>
      <vt:lpstr>Vlookup</vt:lpstr>
      <vt:lpstr>Formüller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Ahu Erdem</dc:creator>
  <cp:keywords/>
  <dc:description/>
  <cp:lastModifiedBy>burak dikmen</cp:lastModifiedBy>
  <cp:revision/>
  <dcterms:created xsi:type="dcterms:W3CDTF">2026-02-19T20:50:16Z</dcterms:created>
  <dcterms:modified xsi:type="dcterms:W3CDTF">2026-07-16T12:06:40Z</dcterms:modified>
  <cp:category/>
  <cp:contentStatus/>
</cp:coreProperties>
</file>